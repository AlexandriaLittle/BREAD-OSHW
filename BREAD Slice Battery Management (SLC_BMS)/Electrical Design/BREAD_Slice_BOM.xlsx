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MTU\OSHE\BREAD_FieldSolarPower\Electrical Design\"/>
    </mc:Choice>
  </mc:AlternateContent>
  <xr:revisionPtr revIDLastSave="0" documentId="13_ncr:40009_{FAD8A1EF-A6A7-4FB9-9BEF-1912B1B43BDF}" xr6:coauthVersionLast="47" xr6:coauthVersionMax="47" xr10:uidLastSave="{00000000-0000-0000-0000-000000000000}"/>
  <bookViews>
    <workbookView xWindow="11520" yWindow="3060" windowWidth="11520" windowHeight="9444"/>
  </bookViews>
  <sheets>
    <sheet name="BREAD_Slice_BOM" sheetId="1" r:id="rId1"/>
  </sheets>
  <calcPr calcId="0"/>
  <fileRecoveryPr repairLoad="1"/>
</workbook>
</file>

<file path=xl/calcChain.xml><?xml version="1.0" encoding="utf-8"?>
<calcChain xmlns="http://schemas.openxmlformats.org/spreadsheetml/2006/main">
  <c r="I83" i="1" l="1"/>
  <c r="I76" i="1"/>
  <c r="I77" i="1"/>
  <c r="I64" i="1"/>
  <c r="I63" i="1"/>
  <c r="I65" i="1"/>
  <c r="I66" i="1"/>
  <c r="I67" i="1"/>
  <c r="I68" i="1"/>
  <c r="I69" i="1"/>
  <c r="I70" i="1"/>
  <c r="I71" i="1"/>
  <c r="I72" i="1"/>
  <c r="I73" i="1"/>
  <c r="I74" i="1"/>
  <c r="I75" i="1"/>
  <c r="I78" i="1"/>
  <c r="I79" i="1"/>
  <c r="I80" i="1"/>
  <c r="I81" i="1"/>
  <c r="I62" i="1"/>
</calcChain>
</file>

<file path=xl/sharedStrings.xml><?xml version="1.0" encoding="utf-8"?>
<sst xmlns="http://schemas.openxmlformats.org/spreadsheetml/2006/main" count="275" uniqueCount="148">
  <si>
    <t>Source:</t>
  </si>
  <si>
    <t>C:\Users\Owner\Documents\MTU\OSHE\BREAD_FieldSolarPower\Electrical Design\BREAD_Slice.kicad_sch</t>
  </si>
  <si>
    <t>Date:</t>
  </si>
  <si>
    <t>Tool:</t>
  </si>
  <si>
    <t>Eeschema (6.0.2)</t>
  </si>
  <si>
    <t>Generator:</t>
  </si>
  <si>
    <t>C:\Program Files\KiCad\6.0\bin\scripting\plugins/bom_csv_grouped_by_value.py</t>
  </si>
  <si>
    <t>Component Count:</t>
  </si>
  <si>
    <t>Individual Components:</t>
  </si>
  <si>
    <t>Item</t>
  </si>
  <si>
    <t>Qty</t>
  </si>
  <si>
    <t>Reference(s)</t>
  </si>
  <si>
    <t>Value</t>
  </si>
  <si>
    <t>Footprint</t>
  </si>
  <si>
    <t>Part#</t>
  </si>
  <si>
    <t>0.5A1</t>
  </si>
  <si>
    <t>SOLDERJUMPER</t>
  </si>
  <si>
    <t>Adafruit_BQ24074:SOLDERJUMPER_ARROW_NOPASTE</t>
  </si>
  <si>
    <t>1.5A1</t>
  </si>
  <si>
    <t>1A1</t>
  </si>
  <si>
    <t>SOLDERJUMPERCLOSED</t>
  </si>
  <si>
    <t>Adafruit_BQ24074:SOLDERJUMPER_CLOSEDWIRE</t>
  </si>
  <si>
    <t>A1</t>
  </si>
  <si>
    <t>Arduino_Nano_v3.x</t>
  </si>
  <si>
    <t>Module:Arduino_Nano</t>
  </si>
  <si>
    <t>BATT1</t>
  </si>
  <si>
    <t>JST 2PH</t>
  </si>
  <si>
    <t>Adafruit_BQ24074:JST-PH-2-SMT-RA</t>
  </si>
  <si>
    <t>C1</t>
  </si>
  <si>
    <t>10uF</t>
  </si>
  <si>
    <t>Adafruit_BQ24074:0805-NO</t>
  </si>
  <si>
    <t>C2</t>
  </si>
  <si>
    <t>C3</t>
  </si>
  <si>
    <t>22uF</t>
  </si>
  <si>
    <t>C4</t>
  </si>
  <si>
    <t>C</t>
  </si>
  <si>
    <t>C5</t>
  </si>
  <si>
    <t>C6</t>
  </si>
  <si>
    <t>C7</t>
  </si>
  <si>
    <t>C8</t>
  </si>
  <si>
    <t>D1</t>
  </si>
  <si>
    <t>SK34A</t>
  </si>
  <si>
    <t>Adafruit_BQ24074:SMADIODE</t>
  </si>
  <si>
    <t>D2</t>
  </si>
  <si>
    <t>D3</t>
  </si>
  <si>
    <t>D_Schottky</t>
  </si>
  <si>
    <t>Diode_SMD:D_SMA_Handsoldering</t>
  </si>
  <si>
    <t>D4</t>
  </si>
  <si>
    <t>RED</t>
  </si>
  <si>
    <t>Adafruit_BQ24074:CHIPLED_0603</t>
  </si>
  <si>
    <t>D5</t>
  </si>
  <si>
    <t>GREEN</t>
  </si>
  <si>
    <t>H1</t>
  </si>
  <si>
    <t>MountingHole</t>
  </si>
  <si>
    <t>MountingHole:MountingHole_3.2mm_M3_DIN965_Pad</t>
  </si>
  <si>
    <t>H2</t>
  </si>
  <si>
    <t>H3</t>
  </si>
  <si>
    <t>H4</t>
  </si>
  <si>
    <t>J1</t>
  </si>
  <si>
    <t>Conn_01x10_Female</t>
  </si>
  <si>
    <t>Connector_PinSocket_2.54mm:PinSocket_1x10_P2.54mm_Horizontal</t>
  </si>
  <si>
    <t>J2</t>
  </si>
  <si>
    <t>USB_B_Micro</t>
  </si>
  <si>
    <t>Connector_USB:USB_Micro-B_GCT_USB3076-30-A</t>
  </si>
  <si>
    <t>USB3076-30-A</t>
  </si>
  <si>
    <t>J3</t>
  </si>
  <si>
    <t>Screw_Terminal_01x02</t>
  </si>
  <si>
    <t>BREAD_Slice:TerminalBlock_Pheonix_MKDS1.5-2pol</t>
  </si>
  <si>
    <t>J4</t>
  </si>
  <si>
    <t>L1</t>
  </si>
  <si>
    <t>22uH</t>
  </si>
  <si>
    <t>Inductor_SMD:L_Taiyo-Yuden_NR-50xx_HandSoldering</t>
  </si>
  <si>
    <t>NRS5020T220MMGJ</t>
  </si>
  <si>
    <t>Logo1</t>
  </si>
  <si>
    <t>Logo_Open_Hardware_Small</t>
  </si>
  <si>
    <t>Symbol:OSHW-Symbol_6.7x6mm_SilkScreen</t>
  </si>
  <si>
    <t>R1</t>
  </si>
  <si>
    <t>Adafruit_BQ24074:0603-NO</t>
  </si>
  <si>
    <t>R2</t>
  </si>
  <si>
    <t>1K</t>
  </si>
  <si>
    <t>R3</t>
  </si>
  <si>
    <t>2K</t>
  </si>
  <si>
    <t>R4</t>
  </si>
  <si>
    <t>R5</t>
  </si>
  <si>
    <t>10K</t>
  </si>
  <si>
    <t>R6</t>
  </si>
  <si>
    <t>R7</t>
  </si>
  <si>
    <t>39k</t>
  </si>
  <si>
    <t>R8</t>
  </si>
  <si>
    <t>2.2k</t>
  </si>
  <si>
    <t>R9</t>
  </si>
  <si>
    <t>R10</t>
  </si>
  <si>
    <t>R11</t>
  </si>
  <si>
    <t>SJ1</t>
  </si>
  <si>
    <t>SOLDERJUMPER_2WAY</t>
  </si>
  <si>
    <t>Adafruit_BQ24074:SOLDERJUMPER_2WAY_OPEN_NOPASTE</t>
  </si>
  <si>
    <t>SJ2</t>
  </si>
  <si>
    <t>THERM1</t>
  </si>
  <si>
    <t>U1</t>
  </si>
  <si>
    <t>MT3608</t>
  </si>
  <si>
    <t>Package_TO_SOT_SMD:SOT-23-6</t>
  </si>
  <si>
    <t>X1</t>
  </si>
  <si>
    <t>2.1mm DC</t>
  </si>
  <si>
    <t>Adafruit_BQ24074:DCJACK_2MM_SMT</t>
  </si>
  <si>
    <t>X2</t>
  </si>
  <si>
    <t>BQ24074</t>
  </si>
  <si>
    <t>Adafruit_BQ24074:QFN16_3MM</t>
  </si>
  <si>
    <t>Collated Components:</t>
  </si>
  <si>
    <t>Must Purchase</t>
  </si>
  <si>
    <t xml:space="preserve"> Price/each </t>
  </si>
  <si>
    <t>Total Price</t>
  </si>
  <si>
    <t>link</t>
  </si>
  <si>
    <t>n</t>
  </si>
  <si>
    <t xml:space="preserve"> $-   </t>
  </si>
  <si>
    <t>y</t>
  </si>
  <si>
    <t>C1, C2, C7, C8</t>
  </si>
  <si>
    <t>C3, C6</t>
  </si>
  <si>
    <t>C4, C5</t>
  </si>
  <si>
    <t>D1, D2</t>
  </si>
  <si>
    <t>https://www.digikey.com/en/products/detail/gct/USB3076-30-A/9859635</t>
  </si>
  <si>
    <t>https://www.digikey.com/en/products/detail/taiyo-yuden/NRS5020T220MMGJ/2230196</t>
  </si>
  <si>
    <t>R2, R4</t>
  </si>
  <si>
    <t>R5, R6, R9, R10, R11</t>
  </si>
  <si>
    <t>https://www.digikey.com/en/products/detail/texas-instruments/BQ24074RGTR/2047269</t>
  </si>
  <si>
    <t>S2B-PH-K-S(LF)(SN)</t>
  </si>
  <si>
    <t>https://www.digikey.com/en/products/detail/jst-sales-america-inc/S2B-PH-K-S-LF-SN/926626</t>
  </si>
  <si>
    <t>J3, J4, J5</t>
  </si>
  <si>
    <t>CL21A106KOQNNNE</t>
  </si>
  <si>
    <t>https://www.digikey.com/en/products/detail/samsung-electro-mechanics/CL21A106KOQNNNE/3886754</t>
  </si>
  <si>
    <t>CL21A226MOQNNNE</t>
  </si>
  <si>
    <t>https://www.digikey.com/en/products/detail/samsung-electro-mechanics/CL21A226MOQNNNE/3888567</t>
  </si>
  <si>
    <t>https://www.digikey.com/en/products/detail/smc-diode-solutions/SK34A/6022681</t>
  </si>
  <si>
    <t>B1911USD-20D000114U1930</t>
  </si>
  <si>
    <t>https://www.digikey.com/en/products/detail/harvatek-corporation/B1911USD-20D000114U1930/15519991</t>
  </si>
  <si>
    <t>B1911NG--20D000214U1930</t>
  </si>
  <si>
    <t>https://www.digikey.com/en/products/detail/harvatek-corporation/B1911NG-20D000214U1930/15519989</t>
  </si>
  <si>
    <t>RMCF0603FT590R</t>
  </si>
  <si>
    <t>https://www.digikey.com/en/products/detail/stackpole-electronics-inc/RMCF0603FT590R/1714140</t>
  </si>
  <si>
    <t>RNCP0603FTD1K00</t>
  </si>
  <si>
    <t>https://www.digikey.com/en/products/detail/stackpole-electronics-inc/RNCP0603FTD1K00/2240106</t>
  </si>
  <si>
    <t>RNCP0603FTD10K0</t>
  </si>
  <si>
    <t>https://www.digikey.com/en/products/detail/stackpole-electronics-inc/RNCP0603FTD10K0/2240139</t>
  </si>
  <si>
    <t>RMCF0603FT2K00</t>
  </si>
  <si>
    <t>https://www.digikey.com/en/products/detail/stackpole-electronics-inc/RMCF0603FT2K00/1761334</t>
  </si>
  <si>
    <t>RMCF0603FT39K0</t>
  </si>
  <si>
    <t>https://www.digikey.com/en/products/detail/stackpole-electronics-inc/RMCF0603FT39K0/1761023</t>
  </si>
  <si>
    <t>RMCF0603FT2K20</t>
  </si>
  <si>
    <t>https://www.digikey.com/en/products/detail/stackpole-electronics-inc/RMCF0603FT2K20/1760987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</si>
</sst>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topLeftCell="A57" workbookViewId="0">
      <selection activeCell="A60" sqref="A60:XFD81"/>
    </sheetView>
  </sheetViews>
  <sheetFormatPr defaultRowHeight="14.4" x14ac:dyDescent="0.55000000000000004"/>
  <cols>
    <col min="6" max="6" width="56.47265625" bestFit="1" customWidth="1"/>
    <col min="7" max="7" width="17.15625" bestFit="1" customWidth="1"/>
  </cols>
  <sheetData>
    <row r="1" spans="1:7" x14ac:dyDescent="0.55000000000000004">
      <c r="A1" t="s">
        <v>0</v>
      </c>
      <c r="B1" t="s">
        <v>1</v>
      </c>
    </row>
    <row r="2" spans="1:7" x14ac:dyDescent="0.55000000000000004">
      <c r="A2" t="s">
        <v>2</v>
      </c>
      <c r="B2" s="1">
        <v>44867.752083333333</v>
      </c>
    </row>
    <row r="3" spans="1:7" x14ac:dyDescent="0.55000000000000004">
      <c r="A3" t="s">
        <v>3</v>
      </c>
      <c r="B3" t="s">
        <v>4</v>
      </c>
    </row>
    <row r="4" spans="1:7" x14ac:dyDescent="0.55000000000000004">
      <c r="A4" t="s">
        <v>5</v>
      </c>
      <c r="B4" t="s">
        <v>6</v>
      </c>
    </row>
    <row r="5" spans="1:7" x14ac:dyDescent="0.55000000000000004">
      <c r="A5" t="s">
        <v>7</v>
      </c>
      <c r="B5">
        <v>45</v>
      </c>
    </row>
    <row r="7" spans="1:7" x14ac:dyDescent="0.55000000000000004">
      <c r="A7" t="s">
        <v>8</v>
      </c>
    </row>
    <row r="9" spans="1:7" x14ac:dyDescent="0.55000000000000004">
      <c r="A9" t="s">
        <v>9</v>
      </c>
      <c r="B9" t="s">
        <v>10</v>
      </c>
      <c r="C9" t="s">
        <v>11</v>
      </c>
      <c r="D9" t="s">
        <v>12</v>
      </c>
      <c r="F9" t="s">
        <v>13</v>
      </c>
      <c r="G9" t="s">
        <v>14</v>
      </c>
    </row>
    <row r="10" spans="1:7" x14ac:dyDescent="0.55000000000000004">
      <c r="C10" t="s">
        <v>15</v>
      </c>
      <c r="D10" t="s">
        <v>16</v>
      </c>
      <c r="F10" t="s">
        <v>17</v>
      </c>
    </row>
    <row r="11" spans="1:7" x14ac:dyDescent="0.55000000000000004">
      <c r="C11" t="s">
        <v>18</v>
      </c>
      <c r="D11" t="s">
        <v>16</v>
      </c>
      <c r="F11" t="s">
        <v>17</v>
      </c>
    </row>
    <row r="12" spans="1:7" x14ac:dyDescent="0.55000000000000004">
      <c r="C12" t="s">
        <v>19</v>
      </c>
      <c r="D12" t="s">
        <v>20</v>
      </c>
      <c r="F12" t="s">
        <v>21</v>
      </c>
    </row>
    <row r="13" spans="1:7" x14ac:dyDescent="0.55000000000000004">
      <c r="C13" t="s">
        <v>22</v>
      </c>
      <c r="D13" t="s">
        <v>23</v>
      </c>
      <c r="F13" t="s">
        <v>24</v>
      </c>
    </row>
    <row r="14" spans="1:7" x14ac:dyDescent="0.55000000000000004">
      <c r="C14" t="s">
        <v>25</v>
      </c>
      <c r="D14" t="s">
        <v>26</v>
      </c>
      <c r="F14" t="s">
        <v>27</v>
      </c>
    </row>
    <row r="15" spans="1:7" x14ac:dyDescent="0.55000000000000004">
      <c r="C15" t="s">
        <v>28</v>
      </c>
      <c r="D15" t="s">
        <v>29</v>
      </c>
      <c r="F15" t="s">
        <v>30</v>
      </c>
    </row>
    <row r="16" spans="1:7" x14ac:dyDescent="0.55000000000000004">
      <c r="C16" t="s">
        <v>31</v>
      </c>
      <c r="D16" t="s">
        <v>29</v>
      </c>
      <c r="F16" t="s">
        <v>30</v>
      </c>
    </row>
    <row r="17" spans="3:6" x14ac:dyDescent="0.55000000000000004">
      <c r="C17" t="s">
        <v>32</v>
      </c>
      <c r="D17" t="s">
        <v>33</v>
      </c>
      <c r="F17" t="s">
        <v>30</v>
      </c>
    </row>
    <row r="18" spans="3:6" x14ac:dyDescent="0.55000000000000004">
      <c r="C18" t="s">
        <v>34</v>
      </c>
      <c r="D18" t="s">
        <v>35</v>
      </c>
      <c r="F18" t="s">
        <v>30</v>
      </c>
    </row>
    <row r="19" spans="3:6" x14ac:dyDescent="0.55000000000000004">
      <c r="C19" t="s">
        <v>36</v>
      </c>
      <c r="D19" t="s">
        <v>35</v>
      </c>
      <c r="F19" t="s">
        <v>30</v>
      </c>
    </row>
    <row r="20" spans="3:6" x14ac:dyDescent="0.55000000000000004">
      <c r="C20" t="s">
        <v>37</v>
      </c>
      <c r="D20" t="s">
        <v>33</v>
      </c>
      <c r="F20" t="s">
        <v>30</v>
      </c>
    </row>
    <row r="21" spans="3:6" x14ac:dyDescent="0.55000000000000004">
      <c r="C21" t="s">
        <v>38</v>
      </c>
      <c r="D21" t="s">
        <v>29</v>
      </c>
      <c r="F21" t="s">
        <v>30</v>
      </c>
    </row>
    <row r="22" spans="3:6" x14ac:dyDescent="0.55000000000000004">
      <c r="C22" t="s">
        <v>39</v>
      </c>
      <c r="D22" t="s">
        <v>29</v>
      </c>
      <c r="F22" t="s">
        <v>30</v>
      </c>
    </row>
    <row r="23" spans="3:6" x14ac:dyDescent="0.55000000000000004">
      <c r="C23" t="s">
        <v>40</v>
      </c>
      <c r="D23" t="s">
        <v>41</v>
      </c>
      <c r="F23" t="s">
        <v>42</v>
      </c>
    </row>
    <row r="24" spans="3:6" x14ac:dyDescent="0.55000000000000004">
      <c r="C24" t="s">
        <v>43</v>
      </c>
      <c r="D24" t="s">
        <v>41</v>
      </c>
      <c r="F24" t="s">
        <v>42</v>
      </c>
    </row>
    <row r="25" spans="3:6" x14ac:dyDescent="0.55000000000000004">
      <c r="C25" t="s">
        <v>44</v>
      </c>
      <c r="D25" t="s">
        <v>45</v>
      </c>
      <c r="F25" t="s">
        <v>46</v>
      </c>
    </row>
    <row r="26" spans="3:6" x14ac:dyDescent="0.55000000000000004">
      <c r="C26" t="s">
        <v>47</v>
      </c>
      <c r="D26" t="s">
        <v>48</v>
      </c>
      <c r="F26" t="s">
        <v>49</v>
      </c>
    </row>
    <row r="27" spans="3:6" x14ac:dyDescent="0.55000000000000004">
      <c r="C27" t="s">
        <v>50</v>
      </c>
      <c r="D27" t="s">
        <v>51</v>
      </c>
      <c r="F27" t="s">
        <v>49</v>
      </c>
    </row>
    <row r="28" spans="3:6" x14ac:dyDescent="0.55000000000000004">
      <c r="C28" t="s">
        <v>52</v>
      </c>
      <c r="D28" t="s">
        <v>53</v>
      </c>
      <c r="F28" t="s">
        <v>54</v>
      </c>
    </row>
    <row r="29" spans="3:6" x14ac:dyDescent="0.55000000000000004">
      <c r="C29" t="s">
        <v>55</v>
      </c>
      <c r="D29" t="s">
        <v>53</v>
      </c>
      <c r="F29" t="s">
        <v>54</v>
      </c>
    </row>
    <row r="30" spans="3:6" x14ac:dyDescent="0.55000000000000004">
      <c r="C30" t="s">
        <v>56</v>
      </c>
      <c r="D30" t="s">
        <v>53</v>
      </c>
      <c r="F30" t="s">
        <v>54</v>
      </c>
    </row>
    <row r="31" spans="3:6" x14ac:dyDescent="0.55000000000000004">
      <c r="C31" t="s">
        <v>57</v>
      </c>
      <c r="D31" t="s">
        <v>53</v>
      </c>
      <c r="F31" t="s">
        <v>54</v>
      </c>
    </row>
    <row r="32" spans="3:6" x14ac:dyDescent="0.55000000000000004">
      <c r="C32" t="s">
        <v>58</v>
      </c>
      <c r="D32" t="s">
        <v>59</v>
      </c>
      <c r="F32" t="s">
        <v>60</v>
      </c>
    </row>
    <row r="33" spans="3:7" x14ac:dyDescent="0.55000000000000004">
      <c r="C33" t="s">
        <v>61</v>
      </c>
      <c r="D33" t="s">
        <v>62</v>
      </c>
      <c r="F33" t="s">
        <v>63</v>
      </c>
      <c r="G33" t="s">
        <v>64</v>
      </c>
    </row>
    <row r="34" spans="3:7" x14ac:dyDescent="0.55000000000000004">
      <c r="C34" t="s">
        <v>65</v>
      </c>
      <c r="D34" t="s">
        <v>66</v>
      </c>
      <c r="F34" t="s">
        <v>67</v>
      </c>
    </row>
    <row r="35" spans="3:7" x14ac:dyDescent="0.55000000000000004">
      <c r="C35" t="s">
        <v>68</v>
      </c>
      <c r="D35" t="s">
        <v>66</v>
      </c>
      <c r="F35" t="s">
        <v>67</v>
      </c>
    </row>
    <row r="36" spans="3:7" x14ac:dyDescent="0.55000000000000004">
      <c r="C36" t="s">
        <v>69</v>
      </c>
      <c r="D36" t="s">
        <v>70</v>
      </c>
      <c r="F36" t="s">
        <v>71</v>
      </c>
      <c r="G36" t="s">
        <v>72</v>
      </c>
    </row>
    <row r="37" spans="3:7" x14ac:dyDescent="0.55000000000000004">
      <c r="C37" t="s">
        <v>73</v>
      </c>
      <c r="D37" t="s">
        <v>74</v>
      </c>
      <c r="F37" t="s">
        <v>75</v>
      </c>
    </row>
    <row r="38" spans="3:7" x14ac:dyDescent="0.55000000000000004">
      <c r="C38" t="s">
        <v>76</v>
      </c>
      <c r="D38">
        <v>590</v>
      </c>
      <c r="F38" t="s">
        <v>77</v>
      </c>
    </row>
    <row r="39" spans="3:7" x14ac:dyDescent="0.55000000000000004">
      <c r="C39" t="s">
        <v>78</v>
      </c>
      <c r="D39" t="s">
        <v>79</v>
      </c>
      <c r="F39" t="s">
        <v>77</v>
      </c>
    </row>
    <row r="40" spans="3:7" x14ac:dyDescent="0.55000000000000004">
      <c r="C40" t="s">
        <v>80</v>
      </c>
      <c r="D40" t="s">
        <v>81</v>
      </c>
      <c r="F40" t="s">
        <v>77</v>
      </c>
    </row>
    <row r="41" spans="3:7" x14ac:dyDescent="0.55000000000000004">
      <c r="C41" t="s">
        <v>82</v>
      </c>
      <c r="D41" t="s">
        <v>79</v>
      </c>
      <c r="F41" t="s">
        <v>77</v>
      </c>
    </row>
    <row r="42" spans="3:7" x14ac:dyDescent="0.55000000000000004">
      <c r="C42" t="s">
        <v>83</v>
      </c>
      <c r="D42" t="s">
        <v>84</v>
      </c>
      <c r="F42" t="s">
        <v>77</v>
      </c>
    </row>
    <row r="43" spans="3:7" x14ac:dyDescent="0.55000000000000004">
      <c r="C43" t="s">
        <v>85</v>
      </c>
      <c r="D43" t="s">
        <v>84</v>
      </c>
      <c r="F43" t="s">
        <v>77</v>
      </c>
    </row>
    <row r="44" spans="3:7" x14ac:dyDescent="0.55000000000000004">
      <c r="C44" t="s">
        <v>86</v>
      </c>
      <c r="D44" t="s">
        <v>87</v>
      </c>
      <c r="F44" t="s">
        <v>77</v>
      </c>
    </row>
    <row r="45" spans="3:7" x14ac:dyDescent="0.55000000000000004">
      <c r="C45" t="s">
        <v>88</v>
      </c>
      <c r="D45" t="s">
        <v>89</v>
      </c>
      <c r="F45" t="s">
        <v>77</v>
      </c>
    </row>
    <row r="46" spans="3:7" x14ac:dyDescent="0.55000000000000004">
      <c r="C46" t="s">
        <v>90</v>
      </c>
      <c r="D46" t="s">
        <v>84</v>
      </c>
      <c r="F46" t="s">
        <v>77</v>
      </c>
    </row>
    <row r="47" spans="3:7" x14ac:dyDescent="0.55000000000000004">
      <c r="C47" t="s">
        <v>91</v>
      </c>
      <c r="D47" t="s">
        <v>84</v>
      </c>
      <c r="F47" t="s">
        <v>77</v>
      </c>
    </row>
    <row r="48" spans="3:7" x14ac:dyDescent="0.55000000000000004">
      <c r="C48" t="s">
        <v>92</v>
      </c>
      <c r="D48" t="s">
        <v>84</v>
      </c>
      <c r="F48" t="s">
        <v>77</v>
      </c>
    </row>
    <row r="49" spans="1:10" x14ac:dyDescent="0.55000000000000004">
      <c r="C49" t="s">
        <v>93</v>
      </c>
      <c r="D49" t="s">
        <v>94</v>
      </c>
      <c r="F49" t="s">
        <v>95</v>
      </c>
    </row>
    <row r="50" spans="1:10" x14ac:dyDescent="0.55000000000000004">
      <c r="C50" t="s">
        <v>96</v>
      </c>
      <c r="D50" t="s">
        <v>94</v>
      </c>
      <c r="F50" t="s">
        <v>95</v>
      </c>
    </row>
    <row r="51" spans="1:10" x14ac:dyDescent="0.55000000000000004">
      <c r="C51" t="s">
        <v>97</v>
      </c>
      <c r="D51" t="s">
        <v>20</v>
      </c>
      <c r="F51" t="s">
        <v>21</v>
      </c>
    </row>
    <row r="52" spans="1:10" x14ac:dyDescent="0.55000000000000004">
      <c r="C52" t="s">
        <v>98</v>
      </c>
      <c r="D52" t="s">
        <v>99</v>
      </c>
      <c r="F52" t="s">
        <v>100</v>
      </c>
    </row>
    <row r="53" spans="1:10" x14ac:dyDescent="0.55000000000000004">
      <c r="C53" t="s">
        <v>101</v>
      </c>
      <c r="D53" t="s">
        <v>102</v>
      </c>
      <c r="F53" t="s">
        <v>103</v>
      </c>
    </row>
    <row r="54" spans="1:10" x14ac:dyDescent="0.55000000000000004">
      <c r="C54" t="s">
        <v>104</v>
      </c>
      <c r="D54" t="s">
        <v>105</v>
      </c>
      <c r="F54" t="s">
        <v>106</v>
      </c>
    </row>
    <row r="58" spans="1:10" x14ac:dyDescent="0.55000000000000004">
      <c r="A58" t="s">
        <v>107</v>
      </c>
    </row>
    <row r="60" spans="1:10" x14ac:dyDescent="0.55000000000000004">
      <c r="A60" t="s">
        <v>9</v>
      </c>
      <c r="B60" t="s">
        <v>10</v>
      </c>
      <c r="C60" t="s">
        <v>11</v>
      </c>
      <c r="D60" t="s">
        <v>12</v>
      </c>
      <c r="E60" t="s">
        <v>108</v>
      </c>
      <c r="F60" t="s">
        <v>13</v>
      </c>
      <c r="G60" t="s">
        <v>14</v>
      </c>
      <c r="H60" t="s">
        <v>109</v>
      </c>
      <c r="I60" t="s">
        <v>110</v>
      </c>
      <c r="J60" t="s">
        <v>111</v>
      </c>
    </row>
    <row r="61" spans="1:10" x14ac:dyDescent="0.55000000000000004">
      <c r="A61">
        <v>3</v>
      </c>
      <c r="B61">
        <v>1</v>
      </c>
      <c r="C61" t="s">
        <v>22</v>
      </c>
      <c r="D61" t="s">
        <v>23</v>
      </c>
      <c r="E61" t="s">
        <v>112</v>
      </c>
      <c r="F61" t="s">
        <v>24</v>
      </c>
      <c r="I61" t="s">
        <v>113</v>
      </c>
    </row>
    <row r="62" spans="1:10" x14ac:dyDescent="0.55000000000000004">
      <c r="A62">
        <v>4</v>
      </c>
      <c r="B62">
        <v>1</v>
      </c>
      <c r="C62" t="s">
        <v>25</v>
      </c>
      <c r="D62" t="s">
        <v>26</v>
      </c>
      <c r="E62" t="s">
        <v>114</v>
      </c>
      <c r="F62" t="s">
        <v>27</v>
      </c>
      <c r="G62" t="s">
        <v>124</v>
      </c>
      <c r="H62">
        <v>0.17</v>
      </c>
      <c r="I62" s="3">
        <f>H62*B62</f>
        <v>0.17</v>
      </c>
      <c r="J62" t="s">
        <v>125</v>
      </c>
    </row>
    <row r="63" spans="1:10" x14ac:dyDescent="0.55000000000000004">
      <c r="A63">
        <v>5</v>
      </c>
      <c r="B63">
        <v>4</v>
      </c>
      <c r="C63" t="s">
        <v>115</v>
      </c>
      <c r="D63" t="s">
        <v>29</v>
      </c>
      <c r="E63" t="s">
        <v>114</v>
      </c>
      <c r="F63" t="s">
        <v>30</v>
      </c>
      <c r="G63" t="s">
        <v>127</v>
      </c>
      <c r="H63">
        <v>0.1</v>
      </c>
      <c r="I63" s="3">
        <f>H63*B63</f>
        <v>0.4</v>
      </c>
      <c r="J63" t="s">
        <v>128</v>
      </c>
    </row>
    <row r="64" spans="1:10" x14ac:dyDescent="0.55000000000000004">
      <c r="A64">
        <v>6</v>
      </c>
      <c r="B64">
        <v>2</v>
      </c>
      <c r="C64" t="s">
        <v>116</v>
      </c>
      <c r="D64" t="s">
        <v>33</v>
      </c>
      <c r="E64" t="s">
        <v>114</v>
      </c>
      <c r="F64" t="s">
        <v>30</v>
      </c>
      <c r="G64" t="s">
        <v>129</v>
      </c>
      <c r="H64">
        <v>0.27</v>
      </c>
      <c r="I64" s="3">
        <f>H64*B64</f>
        <v>0.54</v>
      </c>
      <c r="J64" t="s">
        <v>130</v>
      </c>
    </row>
    <row r="65" spans="1:10" x14ac:dyDescent="0.55000000000000004">
      <c r="A65">
        <v>7</v>
      </c>
      <c r="B65">
        <v>2</v>
      </c>
      <c r="C65" t="s">
        <v>117</v>
      </c>
      <c r="D65" t="s">
        <v>35</v>
      </c>
      <c r="E65" t="s">
        <v>112</v>
      </c>
      <c r="F65" t="s">
        <v>30</v>
      </c>
      <c r="I65" s="3">
        <f t="shared" ref="I63:I81" si="0">H65*B65</f>
        <v>0</v>
      </c>
    </row>
    <row r="66" spans="1:10" x14ac:dyDescent="0.55000000000000004">
      <c r="A66">
        <v>8</v>
      </c>
      <c r="B66">
        <v>2</v>
      </c>
      <c r="C66" t="s">
        <v>118</v>
      </c>
      <c r="D66" t="s">
        <v>41</v>
      </c>
      <c r="E66" t="s">
        <v>114</v>
      </c>
      <c r="F66" t="s">
        <v>42</v>
      </c>
      <c r="G66" t="s">
        <v>41</v>
      </c>
      <c r="H66">
        <v>0.5</v>
      </c>
      <c r="I66" s="3">
        <f t="shared" si="0"/>
        <v>1</v>
      </c>
      <c r="J66" t="s">
        <v>131</v>
      </c>
    </row>
    <row r="67" spans="1:10" x14ac:dyDescent="0.55000000000000004">
      <c r="A67">
        <v>9</v>
      </c>
      <c r="B67">
        <v>1</v>
      </c>
      <c r="C67" t="s">
        <v>44</v>
      </c>
      <c r="D67" t="s">
        <v>45</v>
      </c>
      <c r="E67" t="s">
        <v>112</v>
      </c>
      <c r="F67" t="s">
        <v>46</v>
      </c>
      <c r="I67" s="3">
        <f t="shared" si="0"/>
        <v>0</v>
      </c>
    </row>
    <row r="68" spans="1:10" x14ac:dyDescent="0.55000000000000004">
      <c r="A68">
        <v>10</v>
      </c>
      <c r="B68">
        <v>1</v>
      </c>
      <c r="C68" t="s">
        <v>47</v>
      </c>
      <c r="D68" t="s">
        <v>48</v>
      </c>
      <c r="E68" t="s">
        <v>114</v>
      </c>
      <c r="F68" t="s">
        <v>49</v>
      </c>
      <c r="G68" t="s">
        <v>132</v>
      </c>
      <c r="H68">
        <v>0.1</v>
      </c>
      <c r="I68" s="3">
        <f t="shared" si="0"/>
        <v>0.1</v>
      </c>
      <c r="J68" t="s">
        <v>133</v>
      </c>
    </row>
    <row r="69" spans="1:10" x14ac:dyDescent="0.55000000000000004">
      <c r="A69">
        <v>11</v>
      </c>
      <c r="B69">
        <v>1</v>
      </c>
      <c r="C69" t="s">
        <v>50</v>
      </c>
      <c r="D69" t="s">
        <v>51</v>
      </c>
      <c r="E69" t="s">
        <v>114</v>
      </c>
      <c r="F69" t="s">
        <v>49</v>
      </c>
      <c r="G69" t="s">
        <v>134</v>
      </c>
      <c r="H69">
        <v>0.1</v>
      </c>
      <c r="I69" s="3">
        <f t="shared" si="0"/>
        <v>0.1</v>
      </c>
      <c r="J69" t="s">
        <v>135</v>
      </c>
    </row>
    <row r="70" spans="1:10" x14ac:dyDescent="0.55000000000000004">
      <c r="A70">
        <v>13</v>
      </c>
      <c r="B70">
        <v>1</v>
      </c>
      <c r="C70" t="s">
        <v>58</v>
      </c>
      <c r="D70" t="s">
        <v>59</v>
      </c>
      <c r="E70" t="s">
        <v>112</v>
      </c>
      <c r="F70" t="s">
        <v>60</v>
      </c>
      <c r="I70" s="3">
        <f t="shared" si="0"/>
        <v>0</v>
      </c>
    </row>
    <row r="71" spans="1:10" x14ac:dyDescent="0.55000000000000004">
      <c r="A71">
        <v>14</v>
      </c>
      <c r="B71">
        <v>1</v>
      </c>
      <c r="C71" t="s">
        <v>61</v>
      </c>
      <c r="D71" t="s">
        <v>62</v>
      </c>
      <c r="E71" t="s">
        <v>114</v>
      </c>
      <c r="F71" t="s">
        <v>63</v>
      </c>
      <c r="G71" t="s">
        <v>64</v>
      </c>
      <c r="H71" s="2">
        <v>0.7</v>
      </c>
      <c r="I71" s="3">
        <f t="shared" si="0"/>
        <v>0.7</v>
      </c>
      <c r="J71" t="s">
        <v>119</v>
      </c>
    </row>
    <row r="72" spans="1:10" x14ac:dyDescent="0.55000000000000004">
      <c r="A72">
        <v>15</v>
      </c>
      <c r="B72">
        <v>3</v>
      </c>
      <c r="C72" t="s">
        <v>126</v>
      </c>
      <c r="D72" t="s">
        <v>66</v>
      </c>
      <c r="E72" t="s">
        <v>112</v>
      </c>
      <c r="F72" t="s">
        <v>67</v>
      </c>
      <c r="I72" s="3">
        <f t="shared" si="0"/>
        <v>0</v>
      </c>
    </row>
    <row r="73" spans="1:10" x14ac:dyDescent="0.55000000000000004">
      <c r="A73">
        <v>16</v>
      </c>
      <c r="B73">
        <v>1</v>
      </c>
      <c r="C73" t="s">
        <v>69</v>
      </c>
      <c r="D73" t="s">
        <v>70</v>
      </c>
      <c r="E73" t="s">
        <v>114</v>
      </c>
      <c r="F73" t="s">
        <v>71</v>
      </c>
      <c r="G73" t="s">
        <v>72</v>
      </c>
      <c r="H73" s="2">
        <v>0.31</v>
      </c>
      <c r="I73" s="3">
        <f t="shared" si="0"/>
        <v>0.31</v>
      </c>
      <c r="J73" t="s">
        <v>120</v>
      </c>
    </row>
    <row r="74" spans="1:10" x14ac:dyDescent="0.55000000000000004">
      <c r="A74">
        <v>18</v>
      </c>
      <c r="B74">
        <v>1</v>
      </c>
      <c r="C74" t="s">
        <v>76</v>
      </c>
      <c r="D74">
        <v>590</v>
      </c>
      <c r="E74" t="s">
        <v>114</v>
      </c>
      <c r="F74" t="s">
        <v>77</v>
      </c>
      <c r="G74" t="s">
        <v>136</v>
      </c>
      <c r="H74">
        <v>0.1</v>
      </c>
      <c r="I74" s="3">
        <f t="shared" si="0"/>
        <v>0.1</v>
      </c>
      <c r="J74" t="s">
        <v>137</v>
      </c>
    </row>
    <row r="75" spans="1:10" x14ac:dyDescent="0.55000000000000004">
      <c r="A75">
        <v>19</v>
      </c>
      <c r="B75">
        <v>2</v>
      </c>
      <c r="C75" t="s">
        <v>121</v>
      </c>
      <c r="D75" t="s">
        <v>79</v>
      </c>
      <c r="E75" t="s">
        <v>114</v>
      </c>
      <c r="F75" t="s">
        <v>77</v>
      </c>
      <c r="G75" t="s">
        <v>138</v>
      </c>
      <c r="H75" s="2">
        <v>0.1</v>
      </c>
      <c r="I75" s="3">
        <f t="shared" si="0"/>
        <v>0.2</v>
      </c>
      <c r="J75" t="s">
        <v>139</v>
      </c>
    </row>
    <row r="76" spans="1:10" x14ac:dyDescent="0.55000000000000004">
      <c r="A76">
        <v>20</v>
      </c>
      <c r="B76">
        <v>1</v>
      </c>
      <c r="C76" t="s">
        <v>80</v>
      </c>
      <c r="D76" t="s">
        <v>81</v>
      </c>
      <c r="E76" t="s">
        <v>114</v>
      </c>
      <c r="F76" t="s">
        <v>77</v>
      </c>
      <c r="G76" t="s">
        <v>142</v>
      </c>
      <c r="H76">
        <v>0.1</v>
      </c>
      <c r="I76" s="3">
        <f t="shared" si="0"/>
        <v>0.1</v>
      </c>
      <c r="J76" t="s">
        <v>143</v>
      </c>
    </row>
    <row r="77" spans="1:10" x14ac:dyDescent="0.55000000000000004">
      <c r="A77">
        <v>21</v>
      </c>
      <c r="B77">
        <v>5</v>
      </c>
      <c r="C77" t="s">
        <v>122</v>
      </c>
      <c r="D77" t="s">
        <v>84</v>
      </c>
      <c r="E77" t="s">
        <v>114</v>
      </c>
      <c r="F77" t="s">
        <v>77</v>
      </c>
      <c r="G77" t="s">
        <v>140</v>
      </c>
      <c r="H77">
        <v>0.1</v>
      </c>
      <c r="I77" s="3">
        <f t="shared" si="0"/>
        <v>0.5</v>
      </c>
      <c r="J77" t="s">
        <v>141</v>
      </c>
    </row>
    <row r="78" spans="1:10" x14ac:dyDescent="0.55000000000000004">
      <c r="A78">
        <v>22</v>
      </c>
      <c r="B78">
        <v>1</v>
      </c>
      <c r="C78" t="s">
        <v>86</v>
      </c>
      <c r="D78" t="s">
        <v>87</v>
      </c>
      <c r="E78" t="s">
        <v>114</v>
      </c>
      <c r="F78" t="s">
        <v>77</v>
      </c>
      <c r="G78" t="s">
        <v>144</v>
      </c>
      <c r="H78">
        <v>0.1</v>
      </c>
      <c r="I78" s="3">
        <f t="shared" si="0"/>
        <v>0.1</v>
      </c>
      <c r="J78" t="s">
        <v>145</v>
      </c>
    </row>
    <row r="79" spans="1:10" x14ac:dyDescent="0.55000000000000004">
      <c r="A79">
        <v>23</v>
      </c>
      <c r="B79">
        <v>1</v>
      </c>
      <c r="C79" t="s">
        <v>88</v>
      </c>
      <c r="D79" t="s">
        <v>89</v>
      </c>
      <c r="E79" t="s">
        <v>114</v>
      </c>
      <c r="F79" t="s">
        <v>77</v>
      </c>
      <c r="G79" t="s">
        <v>146</v>
      </c>
      <c r="H79">
        <v>0.1</v>
      </c>
      <c r="I79" s="3">
        <f t="shared" si="0"/>
        <v>0.1</v>
      </c>
      <c r="J79" t="s">
        <v>147</v>
      </c>
    </row>
    <row r="80" spans="1:10" x14ac:dyDescent="0.55000000000000004">
      <c r="A80">
        <v>25</v>
      </c>
      <c r="B80">
        <v>1</v>
      </c>
      <c r="C80" t="s">
        <v>98</v>
      </c>
      <c r="D80" t="s">
        <v>99</v>
      </c>
      <c r="E80" t="s">
        <v>112</v>
      </c>
      <c r="F80" t="s">
        <v>100</v>
      </c>
      <c r="I80" s="3">
        <f t="shared" si="0"/>
        <v>0</v>
      </c>
    </row>
    <row r="81" spans="1:10" x14ac:dyDescent="0.55000000000000004">
      <c r="A81">
        <v>27</v>
      </c>
      <c r="B81">
        <v>1</v>
      </c>
      <c r="C81" t="s">
        <v>104</v>
      </c>
      <c r="D81" t="s">
        <v>105</v>
      </c>
      <c r="E81" t="s">
        <v>114</v>
      </c>
      <c r="F81" t="s">
        <v>106</v>
      </c>
      <c r="H81" s="2">
        <v>3.65</v>
      </c>
      <c r="I81" s="3">
        <f t="shared" si="0"/>
        <v>3.65</v>
      </c>
      <c r="J81" t="s">
        <v>123</v>
      </c>
    </row>
    <row r="83" spans="1:10" x14ac:dyDescent="0.55000000000000004">
      <c r="I83" s="3">
        <f>SUM(I61:I81)</f>
        <v>8.07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BREAD_Slice_BOM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Keppers</dc:creator>
  <cp:lastModifiedBy>Benjamin Keppers</cp:lastModifiedBy>
  <dcterms:created xsi:type="dcterms:W3CDTF">2022-11-03T02:29:08Z</dcterms:created>
  <dcterms:modified xsi:type="dcterms:W3CDTF">2022-11-04T12:36:13Z</dcterms:modified>
</cp:coreProperties>
</file>