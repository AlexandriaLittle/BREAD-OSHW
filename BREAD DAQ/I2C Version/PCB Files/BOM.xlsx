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<sst xmlns="http://schemas.openxmlformats.org/spreadsheetml/2006/main" count="40" uniqueCount="34">
  <si>
    <t>Description</t>
  </si>
  <si>
    <t>Value</t>
  </si>
  <si>
    <t>Sourcing</t>
  </si>
  <si>
    <t>Price</t>
  </si>
  <si>
    <t>Quantity</t>
  </si>
  <si>
    <t>Cost</t>
  </si>
  <si>
    <t>Thermocouple</t>
  </si>
  <si>
    <t>Display</t>
  </si>
  <si>
    <t>RTC</t>
  </si>
  <si>
    <t>Battery Tray</t>
  </si>
  <si>
    <t>Crystal Oscillator</t>
  </si>
  <si>
    <t>32.7680KHz</t>
  </si>
  <si>
    <t>Button</t>
  </si>
  <si>
    <t>SD tray</t>
  </si>
  <si>
    <t>Terminal</t>
  </si>
  <si>
    <t>Resistors</t>
  </si>
  <si>
    <t>10k</t>
  </si>
  <si>
    <t>Capacitors</t>
  </si>
  <si>
    <t>10uF</t>
  </si>
  <si>
    <t>100k</t>
  </si>
  <si>
    <t>20k</t>
  </si>
  <si>
    <t>50k</t>
  </si>
  <si>
    <t>1M</t>
  </si>
  <si>
    <t>Jumper</t>
  </si>
  <si>
    <t>Photo Resistor</t>
  </si>
  <si>
    <t>Pot</t>
  </si>
  <si>
    <t>included with LCD</t>
  </si>
  <si>
    <t>Horizontal Header</t>
  </si>
  <si>
    <t>Header</t>
  </si>
  <si>
    <t>Voltage Regulator</t>
  </si>
  <si>
    <t>410-243 (AD7193 Breakout)</t>
  </si>
  <si>
    <t>Buffer</t>
  </si>
  <si>
    <t>PCB Boards (x5)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</si>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</sst>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adam-tech/PH1-14-UA/9830506?utm_adgroup=General&amp;utm_source=google&amp;utm_medium=cpc&amp;utm_campaign=PMax%20Shopping_Product_Zombie%20SKUs&amp;utm_term=&amp;utm_content=General&amp;utm_id=go_cmp-17815035045_adg-_ad-__dev-c_ext-_prd-9830506_sig-CjwKCAiAopuvBhBCEiwAm8jaMbCgUjtDEUqk-84Qcqzq4rtODshby2Tiufln4cFO_SaO1s516eyNNhoCU00QAvD_BwE&amp;gad_source=1&amp;gclid=CjwKCAiAopuvBhBCEiwAm8jaMbCgUjtDEUqk-84Qcqzq4rtODshby2Tiufln4cFO_SaO1s516eyNNhoCU00QAvD_BwE" TargetMode="External"/><Relationship Id="rId11" Type="http://schemas.openxmlformats.org/officeDocument/2006/relationships/hyperlink" Target="https://www.digikey.com/en/products/detail/yageo/RC1206FR-07100KL/731439?utm_adgroup=Yageo&amp;utm_source=google&amp;utm_medium=cpc&amp;utm_campaign=PMax%20Shopping_Supplier_Yageo&amp;utm_term=&amp;utm_content=Yageo&amp;utm_id=go_cmp-17816160916_adg-_ad-__dev-c_ext-_prd-731439_sig-CjwKCAiArLyuBhA7EiwA-qo80INA2fmGyHj9r2ubBij36etmBMcmqllKbh1IDiganNSDrJRlSHeYGhoC0yQQAvD_BwE&amp;gad_source=1&amp;gclid=CjwKCAiArLyuBhA7EiwA-qo80INA2fmGyHj9r2ubBij36etmBMcmqllKbh1IDiganNSDrJRlSHeYGhoC0yQQAvD_BwE" TargetMode="External"/><Relationship Id="rId22" Type="http://schemas.openxmlformats.org/officeDocument/2006/relationships/hyperlink" Target="https://www.digikey.com/en/products/detail/digilent,-inc./410-243/4428842?utm_adgroup=&amp;utm_source=google&amp;utm_medium=cpc&amp;utm_campaign=PMax%20Shopping_Product_Low%20ROAS%20Categories&amp;utm_term=&amp;utm_content=&amp;utm_id=go_cmp-20243063506_adg-_ad-__dev-c_ext-_prd-4428842_sig-CjwKCAiA3JCvBhA8EiwA4kujZkOFrcz8xbKN6XgeEVFnsFbFo3NLOSjxoifLsq3bu_8qpY2duQj36hoCi30QAvD_BwE&amp;gad_source=1&amp;gclid=CjwKCAiA3JCvBhA8EiwA4kujZkOFrcz8xbKN6XgeEVFnsFbFo3NLOSjxoifLsq3bu_8qpY2duQj36hoCi30QAvD_BwE" TargetMode="External"/><Relationship Id="rId10" Type="http://schemas.openxmlformats.org/officeDocument/2006/relationships/hyperlink" Target="https://www.digikey.com/en/products/detail/samsung-electro-mechanics/CL31B106KOHNNWE/3888763" TargetMode="External"/><Relationship Id="rId21" Type="http://schemas.openxmlformats.org/officeDocument/2006/relationships/hyperlink" Target="https://www.digikey.com/en/products/detail/texas-instruments/LP5951MFX-3.3%2FNOPB/8133156?utm_adgroup=&amp;utm_source=google&amp;utm_medium=cpc&amp;utm_campaign=PMax%20Shopping_Product_Medium%20ROAS%20Categories&amp;utm_term=&amp;utm_content=&amp;utm_id=go_cmp-20223376311_adg-_ad-__dev-c_ext-_prd-8133156_sig-CjwKCAjwte-vBhBFEiwAQSv_xc47j-ZliWjdFWMAWf0xqZ4xore9zGK4NFq8xIvfk-NFd6Cv2YGltBoCGycQAvD_BwE&amp;gad_source=1&amp;gclid=CjwKCAjwte-vBhBFEiwAQSv_xc47j-ZliWjdFWMAWf0xqZ4xore9zGK4NFq8xIvfk-NFd6Cv2YGltBoCGycQAvD_BwE" TargetMode="External"/><Relationship Id="rId13" Type="http://schemas.openxmlformats.org/officeDocument/2006/relationships/hyperlink" Target="https://www.digikey.com/en/products/detail/yageo/RT1206BRD0750KL/5936960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digikey.com/en/products/detail/panasonic-electronic-components/ERA-8AEB203V/3070867" TargetMode="External"/><Relationship Id="rId23" Type="http://schemas.openxmlformats.org/officeDocument/2006/relationships/hyperlink" Target="https://www.digikey.com/en/products/detail/texas-instruments/CD74HC4050E/376792?utm_adgroup=Texas%20Instruments&amp;utm_source=google&amp;utm_medium=cpc&amp;utm_campaign=PMax%20Shopping_Supplier_Texas%20Instruments&amp;utm_term=&amp;utm_content=Texas%20Instruments&amp;utm_id=go_cmp-17816159938_adg-_ad-__dev-c_ext-_prd-376792_sig-CjwKCAiA6KWvBhAREiwAFPZM7iLcYYcExP_RSyh2IDsv5R1yl1KTWDIJsIUmAodb3DQdTP8blkUXtRoC_G0QAvD_BwE&amp;gad_source=1&amp;gclid=CjwKCAiA6KWvBhAREiwAFPZM7iLcYYcExP_RSyh2IDsv5R1yl1KTWDIJsIUmAodb3DQdTP8blkUXtRoC_G0QAvD_BwE" TargetMode="External"/><Relationship Id="rId1" Type="http://schemas.openxmlformats.org/officeDocument/2006/relationships/hyperlink" Target="https://www.digikey.com/en/products/detail/digilent,-inc./240-080/5418219?utm_adgroup=&amp;utm_source=google&amp;utm_medium=cpc&amp;utm_campaign=PMax%20Shopping_Product_High%20ROAS%20Categories&amp;utm_term=&amp;utm_content=&amp;gad_source=1&amp;gclid=Cj0KCQiAwbitBhDIARIsABfFYILjt9A_aCRphHDVLz_xAVSLLwHeoEIHEulO0o5PTBb4R7KN3yyuJmIaAlPiEALw_wcB" TargetMode="External"/><Relationship Id="rId2" Type="http://schemas.openxmlformats.org/officeDocument/2006/relationships/hyperlink" Target="https://www.adafruit.com/product/198" TargetMode="External"/><Relationship Id="rId3" Type="http://schemas.openxmlformats.org/officeDocument/2006/relationships/hyperlink" Target="https://www.digikey.com/en/products/detail/nxp-usa-inc/PCF8523T-1-118/2530422" TargetMode="External"/><Relationship Id="rId4" Type="http://schemas.openxmlformats.org/officeDocument/2006/relationships/hyperlink" Target="https://www.digikey.com/en/products/detail/mpd-(memory-protection-devices)/BC2032-E2/2077836?utm_adgroup=&amp;utm_source=google&amp;utm_medium=cpc&amp;utm_campaign=PMax%20Shopping_Product_Low%20ROAS%20Categories&amp;utm_term=&amp;utm_content=&amp;utm_id=go_cmp-20243063506_adg-_ad-__dev-c_ext-_prd-2077836_sig-CjwKCAiA5L2tBhBTEiwAdSxJXyA0URO5efJ_9pifXyfhdsVt_156YltPGKHFPKO67J9KDoGF9fEq3xoCbRkQAvD_BwE&amp;gad_source=1&amp;gclid=CjwKCAiA5L2tBhBTEiwAdSxJXyA0URO5efJ_9pifXyfhdsVt_156YltPGKHFPKO67J9KDoGF9fEq3xoCbRkQAvD_BwE" TargetMode="External"/><Relationship Id="rId9" Type="http://schemas.openxmlformats.org/officeDocument/2006/relationships/hyperlink" Target="https://www.digikey.com/en/products/detail/yageo/RC1206FR-0710KL/731430?utm_adgroup=Yageo&amp;utm_source=google&amp;utm_medium=cpc&amp;utm_campaign=PMax%20Shopping_Supplier_Yageo&amp;utm_term=&amp;utm_content=Yageo&amp;utm_id=go_cmp-17816160916_adg-_ad-__dev-c_ext-_prd-731430_sig-CjwKCAiArLyuBhA7EiwA-qo80By648c9P0nZUJKzTcutk5HuVKCDcpE9MhicDoOV2n_QOIdq_4nObRoCWvYQAvD_BwE&amp;gad_source=1&amp;gclid=CjwKCAiArLyuBhA7EiwA-qo80By648c9P0nZUJKzTcutk5HuVKCDcpE9MhicDoOV2n_QOIdq_4nObRoCWvYQAvD_BwE" TargetMode="External"/><Relationship Id="rId15" Type="http://schemas.openxmlformats.org/officeDocument/2006/relationships/hyperlink" Target="https://www.digikey.com/en/products/detail/sullins-connector-solutions/SSC02SYAN/76378?utm_adgroup=General&amp;utm_source=google&amp;utm_medium=cpc&amp;utm_campaign=PMax%20Shopping_Product_Zombie%20SKUs&amp;utm_term=&amp;utm_content=General&amp;utm_id=go_cmp-17815035045_adg-_ad-__dev-c_ext-_prd-76378_sig-CjwKCAiAopuvBhBCEiwAm8jaMRz1o4SBKGx0IUZs8sdDHGC8dWzcEW0YGa01bzDA3RBJdebTRdZYlBoCYDEQAvD_BwE&amp;gad_source=1&amp;gclid=CjwKCAiAopuvBhBCEiwAm8jaMRz1o4SBKGx0IUZs8sdDHGC8dWzcEW0YGa01bzDA3RBJdebTRdZYlBoCYDEQAvD_BwE" TargetMode="External"/><Relationship Id="rId14" Type="http://schemas.openxmlformats.org/officeDocument/2006/relationships/hyperlink" Target="https://www.digikey.com/en/products/detail/panasonic-electronic-components/ERJ-8ENF1004V/89582" TargetMode="External"/><Relationship Id="rId17" Type="http://schemas.openxmlformats.org/officeDocument/2006/relationships/hyperlink" Target="https://www.digikey.com/en/products/detail/adafruit-industries-llc/356/6827130?utm_adgroup=&amp;utm_source=google&amp;utm_medium=cpc&amp;utm_campaign=PMax%20Shopping_Product_Low%20ROAS%20Categories&amp;utm_term=&amp;utm_content=&amp;utm_id=go_cmp-20243063506_adg-_ad-__dev-c_ext-_prd-6827130_sig-CjwKCAiAopuvBhBCEiwAm8jaMe1zD3_vLGJSyYmovVEMXcNgOr7LZdelOq0Cdvf-rBDIBUAqQe-p2RoCwbwQAvD_BwE&amp;gad_source=1&amp;gclid=CjwKCAiAopuvBhBCEiwAm8jaMe1zD3_vLGJSyYmovVEMXcNgOr7LZdelOq0Cdvf-rBDIBUAqQe-p2RoCwbwQAvD_BwE" TargetMode="External"/><Relationship Id="rId16" Type="http://schemas.openxmlformats.org/officeDocument/2006/relationships/hyperlink" Target="https://www.digikey.com/en/products/detail/adafruit-industries-llc/161/7244927" TargetMode="External"/><Relationship Id="rId5" Type="http://schemas.openxmlformats.org/officeDocument/2006/relationships/hyperlink" Target="https://www.digikey.com/en/products/detail/abracon-llc/AB38T-32.768KHZ/675229?utm_adgroup=&amp;utm_source=google&amp;utm_medium=cpc&amp;utm_campaign=PMax%20Shopping_Product_Medium%20ROAS%20Categories&amp;utm_term=&amp;utm_content=&amp;utm_id=go_cmp-20223376311_adg-_ad-__dev-c_ext-_prd-675229_sig-Cj0KCQiAzoeuBhDqARIsAMdH14HmGP3l5xgXUTdz8AZCOGWqzndTjlUrIm5d8vPqgHOINIHs9J52pzsaAgKhEALw_wcB&amp;gad_source=1&amp;gclid=Cj0KCQiAzoeuBhDqARIsAMdH14HmGP3l5xgXUTdz8AZCOGWqzndTjlUrIm5d8vPqgHOINIHs9J52pzsaAgKhEALw_wcB" TargetMode="External"/><Relationship Id="rId19" Type="http://schemas.openxmlformats.org/officeDocument/2006/relationships/hyperlink" Target="https://www.digikey.com/en/products/detail/w%C3%BCrth-elektronik/61302011821/16608603?utm_adgroup=General&amp;utm_source=google&amp;utm_medium=cpc&amp;utm_campaign=PMax%20Shopping_Product_Zombie%20SKUs&amp;utm_term=&amp;utm_content=General&amp;utm_id=go_cmp-17815035045_adg-_ad-__dev-c_ext-_prd-16608603_sig-CjwKCAiAopuvBhBCEiwAm8jaMYGqROi5v2t89tQV-M0V59iuaW7P24WkOvxqTY2wQYoV_DzmZkKRoRoCN8EQAvD_BwE&amp;gad_source=1&amp;gclid=CjwKCAiAopuvBhBCEiwAm8jaMYGqROi5v2t89tQV-M0V59iuaW7P24WkOvxqTY2wQYoV_DzmZkKRoRoCN8EQAvD_BwE" TargetMode="External"/><Relationship Id="rId6" Type="http://schemas.openxmlformats.org/officeDocument/2006/relationships/hyperlink" Target="https://www.digikey.com/en/products/detail/cui-devices/TS02-66-55-BK-100-LCR-D/15634297?utm_adgroup=&amp;utm_source=google&amp;utm_medium=cpc&amp;utm_campaign=PMax%20Shopping_Product_Low%20ROAS%20Categories&amp;utm_term=&amp;utm_content=&amp;utm_id=go_cmp-20243063506_adg-_ad-__dev-c_ext-_prd-15634297_sig-Cj0KCQiAw6yuBhDrARIsACf94RVdT17nyw6ausHZE8ee_SV2pB3t92wkjf9BIo09wy7CVrkdCAGuHewaAm3AEALw_wcB&amp;gad_source=1&amp;gclid=Cj0KCQiAw6yuBhDrARIsACf94RVdT17nyw6ausHZE8ee_SV2pB3t92wkjf9BIo09wy7CVrkdCAGuHewaAm3AEALw_wcB" TargetMode="External"/><Relationship Id="rId18" Type="http://schemas.openxmlformats.org/officeDocument/2006/relationships/hyperlink" Target="https://www.digikey.com/en/products/detail/sullins-connector-solutions/PPPC131LGBN-RC/775946?utm_adgroup=General&amp;utm_source=google&amp;utm_medium=cpc&amp;utm_campaign=PMax%20Shopping_Product_Zombie%20SKUs&amp;utm_term=&amp;utm_content=General&amp;utm_id=go_cmp-17815035045_adg-_ad-__dev-c_ext-_prd-775946_sig-CjwKCAiAopuvBhBCEiwAm8jaMfoEXsDks83X-dWGPtTJwWZsvvmVVyDB97GpyXzLqILga0YSH-5CIBoCa_oQAvD_BwE&amp;gad_source=1&amp;gclid=CjwKCAiAopuvBhBCEiwAm8jaMfoEXsDks83X-dWGPtTJwWZsvvmVVyDB97GpyXzLqILga0YSH-5CIBoCa_oQAvD_BwE" TargetMode="External"/><Relationship Id="rId7" Type="http://schemas.openxmlformats.org/officeDocument/2006/relationships/hyperlink" Target="https://www.digikey.com/en/products/detail/molex/1040310811/2804769?utm_adgroup=&amp;utm_source=google&amp;utm_medium=cpc&amp;utm_campaign=PMax%20Supplier_Focus%20Supplier&amp;utm_term=&amp;utm_content=&amp;utm_id=go_cmp-20243063242_adg-_ad-__dev-c_ext-_prd-2804769_sig-CjwKCAiAibeuBhAAEiwAiXBoJNRNenGK7Y0wli4Q5LvQtvMR6neWp332WskioCCWI0vJuQ2kAruCkxoC4E0QAvD_BwE&amp;gad_source=1&amp;gclid=CjwKCAiAibeuBhAAEiwAiXBoJNRNenGK7Y0wli4Q5LvQtvMR6neWp332WskioCCWI0vJuQ2kAruCkxoC4E0QAvD_BwE" TargetMode="External"/><Relationship Id="rId8" Type="http://schemas.openxmlformats.org/officeDocument/2006/relationships/hyperlink" Target="https://www.digikey.com/en/products/detail/adam-tech/EB21A-02-D/9831208?utm_adgroup=General&amp;utm_source=google&amp;utm_medium=cpc&amp;utm_campaign=PMax%20Shopping_Product_Zombie%20SKUs&amp;utm_term=&amp;utm_content=General&amp;utm_id=go_cmp-17815035045_adg-_ad-__dev-c_ext-_prd-9831208_sig-CjwKCAiAopuvBhBCEiwAm8jaMWgZwlv932AQt7vP68i_MVBg157r5JCe2F0OS-b5ipAtbTZaOMiBxRoCtREQAvD_BwE&amp;gad_source=1&amp;gclid=CjwKCAiAopuvBhBCEiwAm8jaMWgZwlv932AQt7vP68i_MVBg157r5JCe2F0OS-b5ipAtbTZaOMiBxRoCtRE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0.38"/>
    <col customWidth="1" min="3" max="3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D2" s="4">
        <v>9.99</v>
      </c>
      <c r="E2" s="3">
        <v>1.0</v>
      </c>
      <c r="F2" s="5">
        <f t="shared" ref="F2:F25" si="1">D2*E2</f>
        <v>9.99</v>
      </c>
    </row>
    <row r="3">
      <c r="A3" s="2" t="s">
        <v>7</v>
      </c>
      <c r="B3" s="3"/>
      <c r="D3" s="4">
        <v>17.95</v>
      </c>
      <c r="E3" s="3">
        <v>1.0</v>
      </c>
      <c r="F3" s="5">
        <f t="shared" si="1"/>
        <v>17.95</v>
      </c>
    </row>
    <row r="4">
      <c r="A4" s="2" t="s">
        <v>8</v>
      </c>
      <c r="B4" s="6"/>
      <c r="C4" s="6"/>
      <c r="D4" s="4">
        <v>1.34</v>
      </c>
      <c r="E4" s="3">
        <v>1.0</v>
      </c>
      <c r="F4" s="5">
        <f t="shared" si="1"/>
        <v>1.34</v>
      </c>
    </row>
    <row r="5">
      <c r="A5" s="2" t="s">
        <v>9</v>
      </c>
      <c r="B5" s="6"/>
      <c r="C5" s="6"/>
      <c r="D5" s="4">
        <v>1.02</v>
      </c>
      <c r="E5" s="3">
        <v>1.0</v>
      </c>
      <c r="F5" s="5">
        <f t="shared" si="1"/>
        <v>1.02</v>
      </c>
    </row>
    <row r="6">
      <c r="A6" s="2" t="s">
        <v>10</v>
      </c>
      <c r="B6" s="6" t="s">
        <v>11</v>
      </c>
      <c r="C6" s="6"/>
      <c r="D6" s="4">
        <v>0.18</v>
      </c>
      <c r="E6" s="3">
        <v>1.0</v>
      </c>
      <c r="F6" s="5">
        <f t="shared" si="1"/>
        <v>0.18</v>
      </c>
    </row>
    <row r="7">
      <c r="A7" s="2" t="s">
        <v>12</v>
      </c>
      <c r="D7" s="4">
        <v>0.1</v>
      </c>
      <c r="E7" s="3">
        <v>2.0</v>
      </c>
      <c r="F7" s="5">
        <f t="shared" si="1"/>
        <v>0.2</v>
      </c>
    </row>
    <row r="8">
      <c r="A8" s="2" t="s">
        <v>13</v>
      </c>
      <c r="D8" s="4">
        <v>2.24</v>
      </c>
      <c r="E8" s="3">
        <v>1.0</v>
      </c>
      <c r="F8" s="5">
        <f t="shared" si="1"/>
        <v>2.24</v>
      </c>
    </row>
    <row r="9">
      <c r="A9" s="2" t="s">
        <v>14</v>
      </c>
      <c r="D9" s="4">
        <v>0.75</v>
      </c>
      <c r="E9" s="3">
        <v>2.0</v>
      </c>
      <c r="F9" s="5">
        <f t="shared" si="1"/>
        <v>1.5</v>
      </c>
    </row>
    <row r="10">
      <c r="A10" s="2" t="s">
        <v>15</v>
      </c>
      <c r="B10" s="3" t="s">
        <v>16</v>
      </c>
      <c r="D10" s="4">
        <v>0.1</v>
      </c>
      <c r="E10" s="3">
        <v>5.0</v>
      </c>
      <c r="F10" s="5">
        <f t="shared" si="1"/>
        <v>0.5</v>
      </c>
    </row>
    <row r="11">
      <c r="A11" s="2" t="s">
        <v>17</v>
      </c>
      <c r="B11" s="3" t="s">
        <v>18</v>
      </c>
      <c r="D11" s="4">
        <v>0.17</v>
      </c>
      <c r="E11" s="3">
        <v>5.0</v>
      </c>
      <c r="F11" s="5">
        <f t="shared" si="1"/>
        <v>0.85</v>
      </c>
    </row>
    <row r="12">
      <c r="A12" s="2" t="s">
        <v>15</v>
      </c>
      <c r="B12" s="3" t="s">
        <v>19</v>
      </c>
      <c r="D12" s="4">
        <v>0.1</v>
      </c>
      <c r="E12" s="3">
        <v>4.0</v>
      </c>
      <c r="F12" s="5">
        <f t="shared" si="1"/>
        <v>0.4</v>
      </c>
    </row>
    <row r="13">
      <c r="A13" s="2" t="s">
        <v>15</v>
      </c>
      <c r="B13" s="3" t="s">
        <v>20</v>
      </c>
      <c r="D13" s="4">
        <v>0.39</v>
      </c>
      <c r="E13" s="3">
        <v>2.0</v>
      </c>
      <c r="F13" s="5">
        <f t="shared" si="1"/>
        <v>0.78</v>
      </c>
    </row>
    <row r="14">
      <c r="A14" s="2" t="s">
        <v>15</v>
      </c>
      <c r="B14" s="3" t="s">
        <v>21</v>
      </c>
      <c r="D14" s="4">
        <v>0.33</v>
      </c>
      <c r="E14" s="3">
        <v>2.0</v>
      </c>
      <c r="F14" s="5">
        <f t="shared" si="1"/>
        <v>0.66</v>
      </c>
    </row>
    <row r="15">
      <c r="A15" s="2" t="s">
        <v>15</v>
      </c>
      <c r="B15" s="3" t="s">
        <v>22</v>
      </c>
      <c r="D15" s="4">
        <v>0.18</v>
      </c>
      <c r="E15" s="3">
        <v>2.0</v>
      </c>
      <c r="F15" s="5">
        <f t="shared" si="1"/>
        <v>0.36</v>
      </c>
    </row>
    <row r="16">
      <c r="A16" s="2" t="s">
        <v>23</v>
      </c>
      <c r="B16" s="3"/>
      <c r="D16" s="4">
        <v>0.21</v>
      </c>
      <c r="E16" s="3">
        <v>2.0</v>
      </c>
      <c r="F16" s="5">
        <f t="shared" si="1"/>
        <v>0.42</v>
      </c>
    </row>
    <row r="17">
      <c r="A17" s="2" t="s">
        <v>24</v>
      </c>
      <c r="B17" s="3"/>
      <c r="D17" s="4">
        <v>0.95</v>
      </c>
      <c r="E17" s="3">
        <v>1.0</v>
      </c>
      <c r="F17" s="5">
        <f t="shared" si="1"/>
        <v>0.95</v>
      </c>
    </row>
    <row r="18">
      <c r="A18" s="2" t="s">
        <v>25</v>
      </c>
      <c r="B18" s="3" t="s">
        <v>16</v>
      </c>
      <c r="C18" s="3" t="s">
        <v>26</v>
      </c>
      <c r="D18" s="4">
        <v>1.25</v>
      </c>
      <c r="E18" s="3">
        <v>0.0</v>
      </c>
      <c r="F18" s="5">
        <f t="shared" si="1"/>
        <v>0</v>
      </c>
    </row>
    <row r="19">
      <c r="A19" s="2" t="s">
        <v>27</v>
      </c>
      <c r="D19" s="4">
        <v>0.9</v>
      </c>
      <c r="E19" s="3">
        <v>2.0</v>
      </c>
      <c r="F19" s="5">
        <f t="shared" si="1"/>
        <v>1.8</v>
      </c>
    </row>
    <row r="20">
      <c r="A20" s="2" t="s">
        <v>28</v>
      </c>
      <c r="D20" s="4">
        <v>0.93</v>
      </c>
      <c r="E20" s="3">
        <v>2.0</v>
      </c>
      <c r="F20" s="5">
        <f t="shared" si="1"/>
        <v>1.86</v>
      </c>
    </row>
    <row r="21">
      <c r="A21" s="2" t="s">
        <v>28</v>
      </c>
      <c r="D21" s="4">
        <v>0.24</v>
      </c>
      <c r="E21" s="3">
        <v>2.0</v>
      </c>
      <c r="F21" s="5">
        <f t="shared" si="1"/>
        <v>0.48</v>
      </c>
    </row>
    <row r="22">
      <c r="A22" s="2" t="s">
        <v>29</v>
      </c>
      <c r="D22" s="4">
        <v>0.75</v>
      </c>
      <c r="E22" s="3">
        <v>2.0</v>
      </c>
      <c r="F22" s="5">
        <f t="shared" si="1"/>
        <v>1.5</v>
      </c>
    </row>
    <row r="23">
      <c r="A23" s="2" t="s">
        <v>30</v>
      </c>
      <c r="D23" s="4">
        <v>34.0</v>
      </c>
      <c r="E23" s="3">
        <v>1.0</v>
      </c>
      <c r="F23" s="5">
        <f t="shared" si="1"/>
        <v>34</v>
      </c>
    </row>
    <row r="24">
      <c r="A24" s="2" t="s">
        <v>31</v>
      </c>
      <c r="D24" s="4">
        <v>0.62</v>
      </c>
      <c r="E24" s="3">
        <v>1.0</v>
      </c>
      <c r="F24" s="5">
        <f t="shared" si="1"/>
        <v>0.62</v>
      </c>
    </row>
    <row r="25">
      <c r="A25" s="3" t="s">
        <v>32</v>
      </c>
      <c r="D25" s="4">
        <v>21.59</v>
      </c>
      <c r="E25" s="3">
        <v>1.0</v>
      </c>
      <c r="F25" s="5">
        <f t="shared" si="1"/>
        <v>21.59</v>
      </c>
    </row>
    <row r="26">
      <c r="E26" s="3" t="s">
        <v>33</v>
      </c>
      <c r="F26" s="4">
        <f>SUM(F2:F25)</f>
        <v>101.19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</hyperlinks>
  <drawing r:id="rId24"/>
</worksheet>
</file>