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a Heintz\Downloads\"/>
    </mc:Choice>
  </mc:AlternateContent>
  <xr:revisionPtr revIDLastSave="0" documentId="13_ncr:1_{E5444FA6-10EC-4904-B4EF-E011F5930B75}" xr6:coauthVersionLast="47" xr6:coauthVersionMax="47" xr10:uidLastSave="{00000000-0000-0000-0000-000000000000}"/>
  <bookViews>
    <workbookView xWindow="-108" yWindow="-108" windowWidth="23256" windowHeight="12456" xr2:uid="{2E7CB63A-CC97-47A9-8C82-02ADAC8A2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2" i="1"/>
</calcChain>
</file>

<file path=xl/sharedStrings.xml><?xml version="1.0" encoding="utf-8"?>
<sst xmlns="http://schemas.openxmlformats.org/spreadsheetml/2006/main" count="154" uniqueCount="139">
  <si>
    <t>KiCad Reference</t>
  </si>
  <si>
    <t>Part Number</t>
  </si>
  <si>
    <t>Description</t>
  </si>
  <si>
    <t>Value</t>
  </si>
  <si>
    <t>Quantity</t>
  </si>
  <si>
    <t>Unit Cost</t>
  </si>
  <si>
    <t>Total Cost</t>
  </si>
  <si>
    <t>Link</t>
  </si>
  <si>
    <t>A1</t>
  </si>
  <si>
    <t>A000005</t>
  </si>
  <si>
    <t>Arduino Nano</t>
  </si>
  <si>
    <t>https://store.arduino.cc/products/arduino-nano</t>
  </si>
  <si>
    <t>Male headers</t>
  </si>
  <si>
    <t>0.1” pitch, 15-pin</t>
  </si>
  <si>
    <t>PPTC151LFBN-RC</t>
  </si>
  <si>
    <t>Female headers</t>
  </si>
  <si>
    <t>https://www.digikey.com/en/products/detail/sullins-connector-solutions/PPTC151LFBN-RC/810153</t>
  </si>
  <si>
    <t>BATT1</t>
  </si>
  <si>
    <t>S2B-PH-K-S(LF)(SN)</t>
  </si>
  <si>
    <t>Battery connector</t>
  </si>
  <si>
    <t>2 mm pitch, 2-position, right angle</t>
  </si>
  <si>
    <t>https://www.digikey.com/en/products/detail/jst-sales-america-inc/S2B-PH-K-S-LF-SN/926626</t>
  </si>
  <si>
    <t>C1, C2, C7, C8</t>
  </si>
  <si>
    <t>CL21A106KOQNNNE</t>
  </si>
  <si>
    <t>Non-polarized capacitors</t>
  </si>
  <si>
    <t>10 μF, 0805</t>
  </si>
  <si>
    <t>https://www.digikey.com/en/products/detail/samsung-electro-mechanics/CL21A106KOQNNNE/3886754</t>
  </si>
  <si>
    <t>C3, C6</t>
  </si>
  <si>
    <t>CL21A226MOQNNNE</t>
  </si>
  <si>
    <t>22 μF, 0805</t>
  </si>
  <si>
    <t>https://www.digikey.com/en/products/detail/samsung-electro-mechanics/CL21A226MOQNNNE/3888567</t>
  </si>
  <si>
    <t>Cff1</t>
  </si>
  <si>
    <t>C1206C332J5GAC7800</t>
  </si>
  <si>
    <t>Non-polarized capacitor</t>
  </si>
  <si>
    <t>3.3 nF, 1206</t>
  </si>
  <si>
    <t>https://www.digikey.com/en/products/detail/kemet/C1206C332J5GAC7800/2215709</t>
  </si>
  <si>
    <t>Cin1</t>
  </si>
  <si>
    <t>EEU-FC1J681L</t>
  </si>
  <si>
    <t>Polarized capacitor</t>
  </si>
  <si>
    <t>680 μF</t>
  </si>
  <si>
    <t>https://www.digikey.com/en/products/detail/panasonic-electronic-components/EEU-FC1J681L/266362</t>
  </si>
  <si>
    <t>Cout1</t>
  </si>
  <si>
    <t>EEU-FR1H471B</t>
  </si>
  <si>
    <t>470 μF</t>
  </si>
  <si>
    <t>https://www.digikey.com/en/products/detail/panasonic-electronic-components/EEU-FR1H471B/2504172</t>
  </si>
  <si>
    <t>D1, D2</t>
  </si>
  <si>
    <t>SK34A</t>
  </si>
  <si>
    <t>Schottky diodes</t>
  </si>
  <si>
    <t>https://www.digikey.com/en/products/detail/smc-diode-solutions/SK34A/6022681</t>
  </si>
  <si>
    <t>D3</t>
  </si>
  <si>
    <t>SS34-HF</t>
  </si>
  <si>
    <t>Schottky diode</t>
  </si>
  <si>
    <t>SS34</t>
  </si>
  <si>
    <t>https://www.digikey.com/en/products/detail/comchip-technology/SS34-HF/10279693</t>
  </si>
  <si>
    <t>D4</t>
  </si>
  <si>
    <t>B1911USD-20D000114U1930</t>
  </si>
  <si>
    <t>LED</t>
  </si>
  <si>
    <t>Red, 0603</t>
  </si>
  <si>
    <t>https://www.digikey.com/en/products/detail/harvatek-corporation/B1911USD-20D000114U1930/15519991</t>
  </si>
  <si>
    <t>D5</t>
  </si>
  <si>
    <t>B1911NG--20D000214U1930</t>
  </si>
  <si>
    <t>Green, 0603</t>
  </si>
  <si>
    <t>https://www.digikey.com/en/products/detail/harvatek-corporation/B1911NG-20D000214U1930/15519989</t>
  </si>
  <si>
    <t>D6</t>
  </si>
  <si>
    <t>CDBA540-HF</t>
  </si>
  <si>
    <t>https://www.digikey.com/en/products/detail/comchip-technology/CDBA540-HF/5226175</t>
  </si>
  <si>
    <t>J1</t>
  </si>
  <si>
    <t>PPTC101LGBN-RC</t>
  </si>
  <si>
    <t>Female header</t>
  </si>
  <si>
    <t>0.1” pitch, 10-pin, right angle</t>
  </si>
  <si>
    <t>https://www.digikey.com/en/products/detail/sullins-connector-solutions/PPTC101LGBN-RC/775904</t>
  </si>
  <si>
    <t>J2</t>
  </si>
  <si>
    <t>USB3076-30-A</t>
  </si>
  <si>
    <t>Micro USB connector</t>
  </si>
  <si>
    <t>USB3076</t>
  </si>
  <si>
    <t>https://www.digikey.com/en/products/detail/gct/USB3076-30-A/9859635</t>
  </si>
  <si>
    <t>J3 - J6</t>
  </si>
  <si>
    <t>Terminal blocks</t>
  </si>
  <si>
    <t>5mm pitch, 2-position, right angle</t>
  </si>
  <si>
    <t>https://www.digikey.com/en/products/detail/phoenix-contact/1935776/2513905</t>
  </si>
  <si>
    <t>L1</t>
  </si>
  <si>
    <t>NRS5020T220MMGJ</t>
  </si>
  <si>
    <t>Inductor</t>
  </si>
  <si>
    <t>22 μH</t>
  </si>
  <si>
    <t>https://www.digikey.com/en/products/detail/taiyo-yuden/NRS5020T220MMGJ/2230196</t>
  </si>
  <si>
    <t>L2</t>
  </si>
  <si>
    <t>PE-54039NL</t>
  </si>
  <si>
    <t>53 μH</t>
  </si>
  <si>
    <t>https://www.digikey.com/en/products/detail/pulse-electronics/PE-54039NL/2266132</t>
  </si>
  <si>
    <t>R1</t>
  </si>
  <si>
    <t>RMCF0603FT590R</t>
  </si>
  <si>
    <t>Resistor</t>
  </si>
  <si>
    <t>590Ω, 0603</t>
  </si>
  <si>
    <t>https://www.digikey.com/en/products/detail/stackpole-electronics-inc/RMCF0603FT590R/1714140</t>
  </si>
  <si>
    <t>R2, R4</t>
  </si>
  <si>
    <t>RNCP0603FTD1K00</t>
  </si>
  <si>
    <t>Resistors</t>
  </si>
  <si>
    <t>1k Ω, 0603</t>
  </si>
  <si>
    <t>https://www.digikey.com/en/products/detail/stackpole-electronics-inc/RNCP0603FTD1K00/2240106</t>
  </si>
  <si>
    <t>R3</t>
  </si>
  <si>
    <t>RMCF0603FT2K00</t>
  </si>
  <si>
    <t>2k Ω, 0603</t>
  </si>
  <si>
    <t>https://www.digikey.com/en/products/detail/stackpole-electronics-inc/RMCF0603FT2K00/1761334</t>
  </si>
  <si>
    <t>R5, R9 - R11</t>
  </si>
  <si>
    <t>RNCP0603FTD10K0</t>
  </si>
  <si>
    <t>10k Ω, 0603</t>
  </si>
  <si>
    <t>https://www.digikey.com/en/products/detail/stackpole-electronics-inc/RNCP0603FTD10K0/2240139</t>
  </si>
  <si>
    <t>R6</t>
  </si>
  <si>
    <t>RMCF1206FT1K00</t>
  </si>
  <si>
    <t>1k Ω, 1206</t>
  </si>
  <si>
    <t>https://www.digikey.com/en/products/detail/stackpole-electronics-inc/RMCF1206FT1K00/1759616</t>
  </si>
  <si>
    <t>R7</t>
  </si>
  <si>
    <t>RMCF0603FT39K0</t>
  </si>
  <si>
    <t>39k Ω, 0603</t>
  </si>
  <si>
    <t>https://www.digikey.com/en/products/detail/stackpole-electronics-inc/RMCF0603FT39K0/1761023</t>
  </si>
  <si>
    <t>R8</t>
  </si>
  <si>
    <t>RMCF0603FT2K20</t>
  </si>
  <si>
    <t>2.2k Ω, 0603</t>
  </si>
  <si>
    <t>https://www.digikey.com/en/products/detail/stackpole-electronics-inc/RMCF0603FT2K20/1760987</t>
  </si>
  <si>
    <t>R12</t>
  </si>
  <si>
    <t>RMCF1206FT4K70</t>
  </si>
  <si>
    <t>4.7k Ω, 1206</t>
  </si>
  <si>
    <t>https://www.digikey.com/en/products/detail/stackpole-electronics-inc/RMCF1206FT4K70/1754008</t>
  </si>
  <si>
    <t>U1</t>
  </si>
  <si>
    <t>U2</t>
  </si>
  <si>
    <t>LM2596TVADJG</t>
  </si>
  <si>
    <t>Voltage regulator</t>
  </si>
  <si>
    <t>LM2596</t>
  </si>
  <si>
    <t>https://www.digikey.com/en/products/detail/onsemi/LM2596TVADJG/2003293</t>
  </si>
  <si>
    <t>X1</t>
  </si>
  <si>
    <t>BQ24074RGTR</t>
  </si>
  <si>
    <t>Charging chip</t>
  </si>
  <si>
    <t>BQ24074</t>
  </si>
  <si>
    <t>https://www.digikey.com/en/products/detail/texas-instruments/BQ24074RGTR/2047269</t>
  </si>
  <si>
    <t>https://www.digikey.com/en/products/detail/sullins-connector-solutions/PEC15SACN/859240</t>
  </si>
  <si>
    <t>PEC15SACN</t>
  </si>
  <si>
    <t>MT3608</t>
  </si>
  <si>
    <t>Boost converter</t>
  </si>
  <si>
    <t>https://www.lcsc.com/product-detail/DC-DC-Converters_XI-AN-Aerosemi-Tech-MT3608_C84817.html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</si>
</sst>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8" fontId="1" fillId="0" borderId="0" xfId="0" applyNumberFormat="1" applyFont="1" applyAlignment="1">
      <alignment vertical="center" wrapText="1"/>
    </xf>
    <xf numFmtId="0" fontId="2" fillId="0" borderId="0" xfId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tackpole-electronics-inc/RMCF1206FT1K00/1759616" TargetMode="External"/><Relationship Id="rId13" Type="http://schemas.openxmlformats.org/officeDocument/2006/relationships/hyperlink" Target="https://www.digikey.com/en/products/detail/pulse-electronics/PE-54039NL/2266132" TargetMode="External"/><Relationship Id="rId18" Type="http://schemas.openxmlformats.org/officeDocument/2006/relationships/hyperlink" Target="https://www.digikey.com/en/products/detail/comchip-technology/CDBA540-HF/5226175" TargetMode="External"/><Relationship Id="rId26" Type="http://schemas.openxmlformats.org/officeDocument/2006/relationships/hyperlink" Target="https://www.digikey.com/en/products/detail/samsung-electro-mechanics/CL21A226MOQNNNE/3888567" TargetMode="External"/><Relationship Id="rId3" Type="http://schemas.openxmlformats.org/officeDocument/2006/relationships/hyperlink" Target="https://www.digikey.com/en/products/detail/onsemi/LM2596TVADJG/2003293" TargetMode="External"/><Relationship Id="rId21" Type="http://schemas.openxmlformats.org/officeDocument/2006/relationships/hyperlink" Target="https://www.digikey.com/en/products/detail/comchip-technology/SS34-HF/10279693" TargetMode="External"/><Relationship Id="rId7" Type="http://schemas.openxmlformats.org/officeDocument/2006/relationships/hyperlink" Target="https://www.digikey.com/en/products/detail/stackpole-electronics-inc/RMCF0603FT39K0/1761023" TargetMode="External"/><Relationship Id="rId12" Type="http://schemas.openxmlformats.org/officeDocument/2006/relationships/hyperlink" Target="https://www.digikey.com/en/products/detail/stackpole-electronics-inc/RMCF0603FT590R/1714140" TargetMode="External"/><Relationship Id="rId17" Type="http://schemas.openxmlformats.org/officeDocument/2006/relationships/hyperlink" Target="https://www.digikey.com/en/products/detail/sullins-connector-solutions/PPTC101LGBN-RC/775904" TargetMode="External"/><Relationship Id="rId25" Type="http://schemas.openxmlformats.org/officeDocument/2006/relationships/hyperlink" Target="https://www.digikey.com/en/products/detail/kemet/C1206C332J5GAC7800/2215709" TargetMode="External"/><Relationship Id="rId2" Type="http://schemas.openxmlformats.org/officeDocument/2006/relationships/hyperlink" Target="https://www.digikey.com/en/products/detail/sullins-connector-solutions/PEC15SACN/859240" TargetMode="External"/><Relationship Id="rId16" Type="http://schemas.openxmlformats.org/officeDocument/2006/relationships/hyperlink" Target="https://www.digikey.com/en/products/detail/gct/USB3076-30-A/9859635" TargetMode="External"/><Relationship Id="rId20" Type="http://schemas.openxmlformats.org/officeDocument/2006/relationships/hyperlink" Target="https://www.digikey.com/en/products/detail/harvatek-corporation/B1911USD-20D000114U1930/15519991" TargetMode="External"/><Relationship Id="rId29" Type="http://schemas.openxmlformats.org/officeDocument/2006/relationships/hyperlink" Target="https://www.digikey.com/en/products/detail/sullins-connector-solutions/PPTC151LFBN-RC/810153" TargetMode="External"/><Relationship Id="rId1" Type="http://schemas.openxmlformats.org/officeDocument/2006/relationships/hyperlink" Target="https://store.arduino.cc/products/arduino-nano" TargetMode="External"/><Relationship Id="rId6" Type="http://schemas.openxmlformats.org/officeDocument/2006/relationships/hyperlink" Target="https://www.digikey.com/en/products/detail/stackpole-electronics-inc/RMCF0603FT2K20/1760987" TargetMode="External"/><Relationship Id="rId11" Type="http://schemas.openxmlformats.org/officeDocument/2006/relationships/hyperlink" Target="https://www.digikey.com/en/products/detail/stackpole-electronics-inc/RNCP0603FTD1K00/2240106" TargetMode="External"/><Relationship Id="rId24" Type="http://schemas.openxmlformats.org/officeDocument/2006/relationships/hyperlink" Target="https://www.digikey.com/en/products/detail/panasonic-electronic-components/EEU-FC1J681L/266362" TargetMode="External"/><Relationship Id="rId5" Type="http://schemas.openxmlformats.org/officeDocument/2006/relationships/hyperlink" Target="https://www.digikey.com/en/products/detail/stackpole-electronics-inc/RMCF1206FT4K70/1754008" TargetMode="External"/><Relationship Id="rId15" Type="http://schemas.openxmlformats.org/officeDocument/2006/relationships/hyperlink" Target="https://www.digikey.com/en/products/detail/phoenix-contact/1935776/2513905" TargetMode="External"/><Relationship Id="rId23" Type="http://schemas.openxmlformats.org/officeDocument/2006/relationships/hyperlink" Target="https://www.digikey.com/en/products/detail/panasonic-electronic-components/EEU-FR1H471B/2504172" TargetMode="External"/><Relationship Id="rId28" Type="http://schemas.openxmlformats.org/officeDocument/2006/relationships/hyperlink" Target="https://www.digikey.com/en/products/detail/jst-sales-america-inc/S2B-PH-K-S-LF-SN/926626" TargetMode="External"/><Relationship Id="rId10" Type="http://schemas.openxmlformats.org/officeDocument/2006/relationships/hyperlink" Target="https://www.digikey.com/en/products/detail/stackpole-electronics-inc/RMCF0603FT2K00/1761334" TargetMode="External"/><Relationship Id="rId19" Type="http://schemas.openxmlformats.org/officeDocument/2006/relationships/hyperlink" Target="https://www.digikey.com/en/products/detail/harvatek-corporation/B1911NG-20D000214U1930/15519989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texas-instruments/BQ24074RGTR/2047269" TargetMode="External"/><Relationship Id="rId9" Type="http://schemas.openxmlformats.org/officeDocument/2006/relationships/hyperlink" Target="https://www.digikey.com/en/products/detail/stackpole-electronics-inc/RNCP0603FTD10K0/2240139" TargetMode="External"/><Relationship Id="rId14" Type="http://schemas.openxmlformats.org/officeDocument/2006/relationships/hyperlink" Target="https://www.digikey.com/en/products/detail/taiyo-yuden/NRS5020T220MMGJ/2230196" TargetMode="External"/><Relationship Id="rId22" Type="http://schemas.openxmlformats.org/officeDocument/2006/relationships/hyperlink" Target="https://www.digikey.com/en/products/detail/smc-diode-solutions/SK34A/6022681" TargetMode="External"/><Relationship Id="rId27" Type="http://schemas.openxmlformats.org/officeDocument/2006/relationships/hyperlink" Target="https://www.digikey.com/en/products/detail/samsung-electro-mechanics/CL21A106KOQNNNE/3886754" TargetMode="External"/><Relationship Id="rId30" Type="http://schemas.openxmlformats.org/officeDocument/2006/relationships/hyperlink" Target="https://www.lcsc.com/product-detail/DC-DC-Converters_XI-AN-Aerosemi-Tech-MT3608_C848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5852-C4D1-47F8-9C19-61C5C2206765}">
  <dimension ref="A1:H32"/>
  <sheetViews>
    <sheetView tabSelected="1" workbookViewId="0">
      <selection activeCell="J5" sqref="I5:J6"/>
    </sheetView>
  </sheetViews>
  <sheetFormatPr defaultRowHeight="14.4" x14ac:dyDescent="0.3"/>
  <cols>
    <col min="1" max="4" width="12.21875" customWidth="1"/>
    <col min="5" max="7" width="10.21875" customWidth="1"/>
    <col min="8" max="8" width="77.77734375" customWidth="1"/>
  </cols>
  <sheetData>
    <row r="1" spans="1:8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/>
      <c r="E2" s="2">
        <v>1</v>
      </c>
      <c r="F2" s="4">
        <v>23.67</v>
      </c>
      <c r="G2" s="4">
        <f>$E2*$F2</f>
        <v>23.67</v>
      </c>
      <c r="H2" s="5" t="s">
        <v>11</v>
      </c>
    </row>
    <row r="3" spans="1:8" ht="28.8" customHeight="1" x14ac:dyDescent="0.3">
      <c r="A3" s="3"/>
      <c r="B3" s="2" t="s">
        <v>135</v>
      </c>
      <c r="C3" s="2" t="s">
        <v>12</v>
      </c>
      <c r="D3" s="2" t="s">
        <v>13</v>
      </c>
      <c r="E3" s="2">
        <v>2</v>
      </c>
      <c r="F3" s="4">
        <v>1.41</v>
      </c>
      <c r="G3" s="4">
        <f t="shared" ref="G3:G31" si="0">$E3*$F3</f>
        <v>2.82</v>
      </c>
      <c r="H3" s="5" t="s">
        <v>134</v>
      </c>
    </row>
    <row r="4" spans="1:8" ht="28.8" x14ac:dyDescent="0.3">
      <c r="A4" s="3"/>
      <c r="B4" s="2" t="s">
        <v>14</v>
      </c>
      <c r="C4" s="2" t="s">
        <v>15</v>
      </c>
      <c r="D4" s="2" t="s">
        <v>13</v>
      </c>
      <c r="E4" s="2">
        <v>2</v>
      </c>
      <c r="F4" s="4">
        <v>0.98</v>
      </c>
      <c r="G4" s="4">
        <f t="shared" si="0"/>
        <v>1.96</v>
      </c>
      <c r="H4" s="5" t="s">
        <v>16</v>
      </c>
    </row>
    <row r="5" spans="1:8" ht="43.2" customHeight="1" x14ac:dyDescent="0.3">
      <c r="A5" s="2" t="s">
        <v>17</v>
      </c>
      <c r="B5" s="2" t="s">
        <v>18</v>
      </c>
      <c r="C5" s="2" t="s">
        <v>19</v>
      </c>
      <c r="D5" s="2" t="s">
        <v>20</v>
      </c>
      <c r="E5" s="2">
        <v>1</v>
      </c>
      <c r="F5" s="4">
        <v>0.17</v>
      </c>
      <c r="G5" s="4">
        <f t="shared" si="0"/>
        <v>0.17</v>
      </c>
      <c r="H5" s="5" t="s">
        <v>21</v>
      </c>
    </row>
    <row r="6" spans="1:8" ht="43.2" customHeight="1" x14ac:dyDescent="0.3">
      <c r="A6" s="2" t="s">
        <v>22</v>
      </c>
      <c r="B6" s="2" t="s">
        <v>23</v>
      </c>
      <c r="C6" s="2" t="s">
        <v>24</v>
      </c>
      <c r="D6" s="2" t="s">
        <v>25</v>
      </c>
      <c r="E6" s="2">
        <v>4</v>
      </c>
      <c r="F6" s="4">
        <v>0.1</v>
      </c>
      <c r="G6" s="4">
        <f t="shared" si="0"/>
        <v>0.4</v>
      </c>
      <c r="H6" s="5" t="s">
        <v>26</v>
      </c>
    </row>
    <row r="7" spans="1:8" ht="42.6" customHeight="1" x14ac:dyDescent="0.3">
      <c r="A7" s="2" t="s">
        <v>27</v>
      </c>
      <c r="B7" s="2" t="s">
        <v>28</v>
      </c>
      <c r="C7" s="2" t="s">
        <v>24</v>
      </c>
      <c r="D7" s="2" t="s">
        <v>29</v>
      </c>
      <c r="E7" s="2">
        <v>2</v>
      </c>
      <c r="F7" s="4">
        <v>0.27</v>
      </c>
      <c r="G7" s="4">
        <f t="shared" si="0"/>
        <v>0.54</v>
      </c>
      <c r="H7" s="5" t="s">
        <v>30</v>
      </c>
    </row>
    <row r="8" spans="1:8" ht="43.2" customHeight="1" x14ac:dyDescent="0.3">
      <c r="A8" s="2" t="s">
        <v>31</v>
      </c>
      <c r="B8" s="2" t="s">
        <v>32</v>
      </c>
      <c r="C8" s="2" t="s">
        <v>33</v>
      </c>
      <c r="D8" s="2" t="s">
        <v>34</v>
      </c>
      <c r="E8" s="2">
        <v>1</v>
      </c>
      <c r="F8" s="4">
        <v>0.3</v>
      </c>
      <c r="G8" s="4">
        <f t="shared" si="0"/>
        <v>0.3</v>
      </c>
      <c r="H8" s="5" t="s">
        <v>35</v>
      </c>
    </row>
    <row r="9" spans="1:8" ht="28.8" customHeight="1" x14ac:dyDescent="0.3">
      <c r="A9" s="2" t="s">
        <v>36</v>
      </c>
      <c r="B9" s="2" t="s">
        <v>37</v>
      </c>
      <c r="C9" s="2" t="s">
        <v>38</v>
      </c>
      <c r="D9" s="2" t="s">
        <v>39</v>
      </c>
      <c r="E9" s="2">
        <v>1</v>
      </c>
      <c r="F9" s="4">
        <v>1.94</v>
      </c>
      <c r="G9" s="4">
        <f t="shared" si="0"/>
        <v>1.94</v>
      </c>
      <c r="H9" s="5" t="s">
        <v>40</v>
      </c>
    </row>
    <row r="10" spans="1:8" ht="28.8" customHeight="1" x14ac:dyDescent="0.3">
      <c r="A10" s="2" t="s">
        <v>41</v>
      </c>
      <c r="B10" s="2" t="s">
        <v>42</v>
      </c>
      <c r="C10" s="2" t="s">
        <v>38</v>
      </c>
      <c r="D10" s="2" t="s">
        <v>43</v>
      </c>
      <c r="E10" s="2">
        <v>1</v>
      </c>
      <c r="F10" s="4">
        <v>1.31</v>
      </c>
      <c r="G10" s="4">
        <f t="shared" si="0"/>
        <v>1.31</v>
      </c>
      <c r="H10" s="5" t="s">
        <v>44</v>
      </c>
    </row>
    <row r="11" spans="1:8" ht="28.8" customHeight="1" x14ac:dyDescent="0.3">
      <c r="A11" s="2" t="s">
        <v>45</v>
      </c>
      <c r="B11" s="2" t="s">
        <v>46</v>
      </c>
      <c r="C11" s="2" t="s">
        <v>47</v>
      </c>
      <c r="D11" s="2" t="s">
        <v>46</v>
      </c>
      <c r="E11" s="2">
        <v>2</v>
      </c>
      <c r="F11" s="4">
        <v>0.49</v>
      </c>
      <c r="G11" s="4">
        <f t="shared" si="0"/>
        <v>0.98</v>
      </c>
      <c r="H11" s="5" t="s">
        <v>48</v>
      </c>
    </row>
    <row r="12" spans="1:8" ht="28.8" customHeight="1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2">
        <v>1</v>
      </c>
      <c r="F12" s="4">
        <v>0.45</v>
      </c>
      <c r="G12" s="4">
        <f t="shared" si="0"/>
        <v>0.45</v>
      </c>
      <c r="H12" s="5" t="s">
        <v>53</v>
      </c>
    </row>
    <row r="13" spans="1:8" ht="43.2" customHeight="1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>
        <v>1</v>
      </c>
      <c r="F13" s="4">
        <v>0.1</v>
      </c>
      <c r="G13" s="4">
        <f t="shared" si="0"/>
        <v>0.1</v>
      </c>
      <c r="H13" s="5" t="s">
        <v>58</v>
      </c>
    </row>
    <row r="14" spans="1:8" ht="43.2" customHeight="1" x14ac:dyDescent="0.3">
      <c r="A14" s="2" t="s">
        <v>59</v>
      </c>
      <c r="B14" s="2" t="s">
        <v>60</v>
      </c>
      <c r="C14" s="2" t="s">
        <v>56</v>
      </c>
      <c r="D14" s="2" t="s">
        <v>61</v>
      </c>
      <c r="E14" s="2">
        <v>1</v>
      </c>
      <c r="F14" s="4">
        <v>0.1</v>
      </c>
      <c r="G14" s="4">
        <f t="shared" si="0"/>
        <v>0.1</v>
      </c>
      <c r="H14" s="5" t="s">
        <v>62</v>
      </c>
    </row>
    <row r="15" spans="1:8" ht="28.8" customHeight="1" x14ac:dyDescent="0.3">
      <c r="A15" s="2" t="s">
        <v>63</v>
      </c>
      <c r="B15" s="2" t="s">
        <v>64</v>
      </c>
      <c r="C15" s="2" t="s">
        <v>51</v>
      </c>
      <c r="D15" s="2" t="s">
        <v>64</v>
      </c>
      <c r="E15" s="2">
        <v>1</v>
      </c>
      <c r="F15" s="4">
        <v>0.44</v>
      </c>
      <c r="G15" s="4">
        <f t="shared" si="0"/>
        <v>0.44</v>
      </c>
      <c r="H15" s="5" t="s">
        <v>65</v>
      </c>
    </row>
    <row r="16" spans="1:8" ht="43.2" customHeight="1" x14ac:dyDescent="0.3">
      <c r="A16" s="2" t="s">
        <v>66</v>
      </c>
      <c r="B16" s="2" t="s">
        <v>67</v>
      </c>
      <c r="C16" s="2" t="s">
        <v>68</v>
      </c>
      <c r="D16" s="2" t="s">
        <v>69</v>
      </c>
      <c r="E16" s="2">
        <v>1</v>
      </c>
      <c r="F16" s="4">
        <v>0.76</v>
      </c>
      <c r="G16" s="4">
        <f t="shared" si="0"/>
        <v>0.76</v>
      </c>
      <c r="H16" s="5" t="s">
        <v>70</v>
      </c>
    </row>
    <row r="17" spans="1:8" ht="28.8" customHeight="1" x14ac:dyDescent="0.3">
      <c r="A17" s="2" t="s">
        <v>71</v>
      </c>
      <c r="B17" s="2" t="s">
        <v>72</v>
      </c>
      <c r="C17" s="2" t="s">
        <v>73</v>
      </c>
      <c r="D17" s="2" t="s">
        <v>74</v>
      </c>
      <c r="E17" s="2">
        <v>1</v>
      </c>
      <c r="F17" s="4">
        <v>0.7</v>
      </c>
      <c r="G17" s="4">
        <f t="shared" si="0"/>
        <v>0.7</v>
      </c>
      <c r="H17" s="5" t="s">
        <v>75</v>
      </c>
    </row>
    <row r="18" spans="1:8" ht="43.2" x14ac:dyDescent="0.3">
      <c r="A18" s="2" t="s">
        <v>76</v>
      </c>
      <c r="B18" s="2">
        <v>1935776</v>
      </c>
      <c r="C18" s="2" t="s">
        <v>77</v>
      </c>
      <c r="D18" s="2" t="s">
        <v>78</v>
      </c>
      <c r="E18" s="2">
        <v>4</v>
      </c>
      <c r="F18" s="4">
        <v>0.59</v>
      </c>
      <c r="G18" s="4">
        <f t="shared" si="0"/>
        <v>2.36</v>
      </c>
      <c r="H18" s="5" t="s">
        <v>79</v>
      </c>
    </row>
    <row r="19" spans="1:8" ht="28.8" x14ac:dyDescent="0.3">
      <c r="A19" s="2" t="s">
        <v>80</v>
      </c>
      <c r="B19" s="2" t="s">
        <v>81</v>
      </c>
      <c r="C19" s="2" t="s">
        <v>82</v>
      </c>
      <c r="D19" s="2" t="s">
        <v>83</v>
      </c>
      <c r="E19" s="2">
        <v>1</v>
      </c>
      <c r="F19" s="4">
        <v>0.3</v>
      </c>
      <c r="G19" s="4">
        <f t="shared" si="0"/>
        <v>0.3</v>
      </c>
      <c r="H19" s="5" t="s">
        <v>84</v>
      </c>
    </row>
    <row r="20" spans="1:8" ht="28.8" x14ac:dyDescent="0.3">
      <c r="A20" s="2" t="s">
        <v>85</v>
      </c>
      <c r="B20" s="2" t="s">
        <v>86</v>
      </c>
      <c r="C20" s="2" t="s">
        <v>82</v>
      </c>
      <c r="D20" s="2" t="s">
        <v>87</v>
      </c>
      <c r="E20" s="2">
        <v>1</v>
      </c>
      <c r="F20" s="4">
        <v>4.42</v>
      </c>
      <c r="G20" s="4">
        <f t="shared" si="0"/>
        <v>4.42</v>
      </c>
      <c r="H20" s="5" t="s">
        <v>88</v>
      </c>
    </row>
    <row r="21" spans="1:8" ht="28.8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>
        <v>1</v>
      </c>
      <c r="F21" s="4">
        <v>0.1</v>
      </c>
      <c r="G21" s="4">
        <f t="shared" si="0"/>
        <v>0.1</v>
      </c>
      <c r="H21" s="5" t="s">
        <v>93</v>
      </c>
    </row>
    <row r="22" spans="1:8" ht="28.8" x14ac:dyDescent="0.3">
      <c r="A22" s="2" t="s">
        <v>94</v>
      </c>
      <c r="B22" s="2" t="s">
        <v>95</v>
      </c>
      <c r="C22" s="2" t="s">
        <v>96</v>
      </c>
      <c r="D22" s="2" t="s">
        <v>97</v>
      </c>
      <c r="E22" s="2">
        <v>2</v>
      </c>
      <c r="F22" s="4">
        <v>0.1</v>
      </c>
      <c r="G22" s="4">
        <f t="shared" si="0"/>
        <v>0.2</v>
      </c>
      <c r="H22" s="5" t="s">
        <v>98</v>
      </c>
    </row>
    <row r="23" spans="1:8" ht="28.8" x14ac:dyDescent="0.3">
      <c r="A23" s="2" t="s">
        <v>99</v>
      </c>
      <c r="B23" s="2" t="s">
        <v>100</v>
      </c>
      <c r="C23" s="2" t="s">
        <v>91</v>
      </c>
      <c r="D23" s="2" t="s">
        <v>101</v>
      </c>
      <c r="E23" s="2">
        <v>1</v>
      </c>
      <c r="F23" s="4">
        <v>0.1</v>
      </c>
      <c r="G23" s="4">
        <f t="shared" si="0"/>
        <v>0.1</v>
      </c>
      <c r="H23" s="5" t="s">
        <v>102</v>
      </c>
    </row>
    <row r="24" spans="1:8" ht="28.8" x14ac:dyDescent="0.3">
      <c r="A24" s="2" t="s">
        <v>103</v>
      </c>
      <c r="B24" s="2" t="s">
        <v>104</v>
      </c>
      <c r="C24" s="2" t="s">
        <v>96</v>
      </c>
      <c r="D24" s="2" t="s">
        <v>105</v>
      </c>
      <c r="E24" s="2">
        <v>4</v>
      </c>
      <c r="F24" s="4">
        <v>0.1</v>
      </c>
      <c r="G24" s="4">
        <f t="shared" si="0"/>
        <v>0.4</v>
      </c>
      <c r="H24" s="5" t="s">
        <v>106</v>
      </c>
    </row>
    <row r="25" spans="1:8" ht="28.8" x14ac:dyDescent="0.3">
      <c r="A25" s="2" t="s">
        <v>107</v>
      </c>
      <c r="B25" s="2" t="s">
        <v>108</v>
      </c>
      <c r="C25" s="2" t="s">
        <v>91</v>
      </c>
      <c r="D25" s="2" t="s">
        <v>109</v>
      </c>
      <c r="E25" s="2">
        <v>1</v>
      </c>
      <c r="F25" s="4">
        <v>0.1</v>
      </c>
      <c r="G25" s="4">
        <f t="shared" si="0"/>
        <v>0.1</v>
      </c>
      <c r="H25" s="5" t="s">
        <v>110</v>
      </c>
    </row>
    <row r="26" spans="1:8" ht="28.8" x14ac:dyDescent="0.3">
      <c r="A26" s="2" t="s">
        <v>111</v>
      </c>
      <c r="B26" s="2" t="s">
        <v>112</v>
      </c>
      <c r="C26" s="2" t="s">
        <v>91</v>
      </c>
      <c r="D26" s="2" t="s">
        <v>113</v>
      </c>
      <c r="E26" s="2">
        <v>1</v>
      </c>
      <c r="F26" s="4">
        <v>0.1</v>
      </c>
      <c r="G26" s="4">
        <f t="shared" si="0"/>
        <v>0.1</v>
      </c>
      <c r="H26" s="5" t="s">
        <v>114</v>
      </c>
    </row>
    <row r="27" spans="1:8" ht="28.8" x14ac:dyDescent="0.3">
      <c r="A27" s="2" t="s">
        <v>115</v>
      </c>
      <c r="B27" s="2" t="s">
        <v>116</v>
      </c>
      <c r="C27" s="2" t="s">
        <v>91</v>
      </c>
      <c r="D27" s="2" t="s">
        <v>117</v>
      </c>
      <c r="E27" s="2">
        <v>1</v>
      </c>
      <c r="F27" s="4">
        <v>0.1</v>
      </c>
      <c r="G27" s="4">
        <f t="shared" si="0"/>
        <v>0.1</v>
      </c>
      <c r="H27" s="5" t="s">
        <v>118</v>
      </c>
    </row>
    <row r="28" spans="1:8" ht="28.8" x14ac:dyDescent="0.3">
      <c r="A28" s="2" t="s">
        <v>119</v>
      </c>
      <c r="B28" s="2" t="s">
        <v>120</v>
      </c>
      <c r="C28" s="2" t="s">
        <v>91</v>
      </c>
      <c r="D28" s="2" t="s">
        <v>121</v>
      </c>
      <c r="E28" s="2">
        <v>1</v>
      </c>
      <c r="F28" s="4">
        <v>0.1</v>
      </c>
      <c r="G28" s="4">
        <f t="shared" si="0"/>
        <v>0.1</v>
      </c>
      <c r="H28" s="5" t="s">
        <v>122</v>
      </c>
    </row>
    <row r="29" spans="1:8" ht="28.8" x14ac:dyDescent="0.3">
      <c r="A29" s="2" t="s">
        <v>123</v>
      </c>
      <c r="B29" s="3" t="s">
        <v>136</v>
      </c>
      <c r="C29" s="2" t="s">
        <v>137</v>
      </c>
      <c r="D29" s="2" t="s">
        <v>136</v>
      </c>
      <c r="E29" s="2">
        <v>1</v>
      </c>
      <c r="F29" s="7">
        <v>0.09</v>
      </c>
      <c r="G29" s="4">
        <v>0.43</v>
      </c>
      <c r="H29" s="8" t="s">
        <v>138</v>
      </c>
    </row>
    <row r="30" spans="1:8" ht="28.8" x14ac:dyDescent="0.3">
      <c r="A30" s="2" t="s">
        <v>124</v>
      </c>
      <c r="B30" s="2" t="s">
        <v>125</v>
      </c>
      <c r="C30" s="2" t="s">
        <v>126</v>
      </c>
      <c r="D30" s="2" t="s">
        <v>127</v>
      </c>
      <c r="E30" s="2">
        <v>1</v>
      </c>
      <c r="F30" s="4">
        <v>2.79</v>
      </c>
      <c r="G30" s="4">
        <f t="shared" si="0"/>
        <v>2.79</v>
      </c>
      <c r="H30" s="5" t="s">
        <v>128</v>
      </c>
    </row>
    <row r="31" spans="1:8" ht="28.8" x14ac:dyDescent="0.3">
      <c r="A31" s="2" t="s">
        <v>129</v>
      </c>
      <c r="B31" s="2" t="s">
        <v>130</v>
      </c>
      <c r="C31" s="2" t="s">
        <v>131</v>
      </c>
      <c r="D31" s="2" t="s">
        <v>132</v>
      </c>
      <c r="E31" s="2">
        <v>1</v>
      </c>
      <c r="F31" s="4">
        <v>3.45</v>
      </c>
      <c r="G31" s="4">
        <f t="shared" si="0"/>
        <v>3.45</v>
      </c>
      <c r="H31" s="5" t="s">
        <v>133</v>
      </c>
    </row>
    <row r="32" spans="1:8" x14ac:dyDescent="0.3">
      <c r="G32" s="1"/>
    </row>
  </sheetData>
  <hyperlinks>
    <hyperlink ref="H2" r:id="rId1" xr:uid="{B957A0BF-F114-4A6E-9B3B-29C44802B34B}"/>
    <hyperlink ref="H3" r:id="rId2" xr:uid="{121B9277-7668-4D05-B0B4-D9513E12BB2A}"/>
    <hyperlink ref="H30" r:id="rId3" xr:uid="{93B035AD-200F-4AC4-A8E8-1A00300AAFDE}"/>
    <hyperlink ref="H31" r:id="rId4" xr:uid="{1163471F-A5E5-42BB-ABC1-E16291C95588}"/>
    <hyperlink ref="H28" r:id="rId5" xr:uid="{77B35252-C456-4545-9EB7-4EEE6F050E76}"/>
    <hyperlink ref="H27" r:id="rId6" xr:uid="{287217D8-5773-40F4-8FDB-37DB82D65D7F}"/>
    <hyperlink ref="H26" r:id="rId7" xr:uid="{32240F3E-5DF0-44AF-8D29-C6D27D9971DD}"/>
    <hyperlink ref="H25" r:id="rId8" xr:uid="{6400C0AB-E670-40A5-A68A-D71571D37709}"/>
    <hyperlink ref="H24" r:id="rId9" xr:uid="{9678BD0E-A6EE-442E-B5E0-A17ED9192F84}"/>
    <hyperlink ref="H23" r:id="rId10" xr:uid="{808403AC-384E-42DA-AFCB-F4E14CED52A9}"/>
    <hyperlink ref="H22" r:id="rId11" xr:uid="{07526831-4E13-42B8-B698-7DE4ED6C53F0}"/>
    <hyperlink ref="H21" r:id="rId12" xr:uid="{09A04A98-8B30-4ED5-8B86-98B66355C6D3}"/>
    <hyperlink ref="H20" r:id="rId13" xr:uid="{931D72ED-A932-4708-8457-21BBB9B38DD6}"/>
    <hyperlink ref="H19" r:id="rId14" xr:uid="{770257F7-C544-4851-B150-C4A754D06824}"/>
    <hyperlink ref="H18" r:id="rId15" xr:uid="{66DB30AD-A686-4051-85BC-6FB5A8DAF6B9}"/>
    <hyperlink ref="H17" r:id="rId16" xr:uid="{58D4E14C-E339-4410-A1FD-39154512E8DA}"/>
    <hyperlink ref="H16" r:id="rId17" xr:uid="{81AF6AF9-F3F8-4B20-B082-2EAF3C01AF3C}"/>
    <hyperlink ref="H15" r:id="rId18" xr:uid="{D3084A4B-0075-4700-B7C9-E73DA19931A7}"/>
    <hyperlink ref="H14" r:id="rId19" xr:uid="{49265062-4102-49AD-9D22-72FF13EF0013}"/>
    <hyperlink ref="H13" r:id="rId20" xr:uid="{C30B6FA9-95FD-44A8-B0D6-1678CE140C4F}"/>
    <hyperlink ref="H12" r:id="rId21" xr:uid="{6BEA9C7C-42AE-439F-8658-705538D59B89}"/>
    <hyperlink ref="H11" r:id="rId22" xr:uid="{E51848FC-B096-4D9D-B63F-EADC5433D9A0}"/>
    <hyperlink ref="H10" r:id="rId23" xr:uid="{FE136EC6-19FD-4DB6-B45E-197B6DEBD1B1}"/>
    <hyperlink ref="H9" r:id="rId24" xr:uid="{A0D7AA35-FB11-46EB-85CA-AAB7DD6AE0B4}"/>
    <hyperlink ref="H8" r:id="rId25" xr:uid="{0DD9968C-2E3B-43D0-87FF-EF46D52876CA}"/>
    <hyperlink ref="H7" r:id="rId26" xr:uid="{AE004F47-9461-44EE-A1FC-5E815F1B69FF}"/>
    <hyperlink ref="H6" r:id="rId27" xr:uid="{B2429761-3B91-46E7-9883-C1739AA129A3}"/>
    <hyperlink ref="H5" r:id="rId28" xr:uid="{E3CCB0E0-F795-4963-856E-F90FD836A1AD}"/>
    <hyperlink ref="H4" r:id="rId29" xr:uid="{42A84311-1664-4C29-B5EB-DEBF84B05080}"/>
    <hyperlink ref="H29" r:id="rId30" xr:uid="{78AD49DF-1DEF-4087-8EC6-FBCA1CACB26B}"/>
  </hyperlinks>
  <pageMargins left="0.7" right="0.7" top="0.75" bottom="0.75" header="0.3" footer="0.3"/>
  <pageSetup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C0F940C51DC9479E22A8D6DE3708B9" ma:contentTypeVersion="2" ma:contentTypeDescription="Create a new document." ma:contentTypeScope="" ma:versionID="41f08a1441bafd199c7c3c6d4bf3ccf1">
  <xsd:schema xmlns:xsd="http://www.w3.org/2001/XMLSchema" xmlns:xs="http://www.w3.org/2001/XMLSchema" xmlns:p="http://schemas.microsoft.com/office/2006/metadata/properties" xmlns:ns3="36d50bcb-634b-4be5-8837-9def32d7f271" targetNamespace="http://schemas.microsoft.com/office/2006/metadata/properties" ma:root="true" ma:fieldsID="1337e45cfcdd23d18c4ad74602fb01ff" ns3:_="">
    <xsd:import namespace="36d50bcb-634b-4be5-8837-9def32d7f2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50bcb-634b-4be5-8837-9def32d7f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F1657-9898-4146-B1D4-3C00F7357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50bcb-634b-4be5-8837-9def32d7f2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CE29BF-8986-4FD4-BBE2-3FA41F69A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7724E1-30DF-447E-A8D0-E2423D7C2142}">
  <ds:schemaRefs>
    <ds:schemaRef ds:uri="http://purl.org/dc/elements/1.1/"/>
    <ds:schemaRef ds:uri="36d50bcb-634b-4be5-8837-9def32d7f271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Heintz</dc:creator>
  <cp:lastModifiedBy>Georgia Heintz</cp:lastModifiedBy>
  <cp:lastPrinted>2023-04-25T06:22:13Z</cp:lastPrinted>
  <dcterms:created xsi:type="dcterms:W3CDTF">2023-04-20T01:30:41Z</dcterms:created>
  <dcterms:modified xsi:type="dcterms:W3CDTF">2023-04-25T06:24:42Z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0x0101002BC0F940C51DC9479E22A8D6DE3708B9</vt:lpwstr>
  </property>
</Properties>
</file>